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920"/>
  </bookViews>
  <sheets>
    <sheet name="C_CFST" sheetId="1" r:id="rId1"/>
  </sheets>
  <definedNames>
    <definedName name="_xlnm._FilterDatabase" localSheetId="0" hidden="1">C_CFST!$A$1:$H$1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<sst xmlns="http://schemas.openxmlformats.org/spreadsheetml/2006/main" count="2237" uniqueCount="938">
  <si>
    <t>Speciment</t>
  </si>
  <si>
    <t>D (mm)</t>
  </si>
  <si>
    <t>t (mm)</t>
  </si>
  <si>
    <t>Le (mm)</t>
  </si>
  <si>
    <t>fy (MPa)</t>
  </si>
  <si>
    <t>fc (MPa)</t>
  </si>
  <si>
    <t>fc type</t>
  </si>
  <si>
    <t>N Test (kN)</t>
  </si>
  <si>
    <t>Ag (mm2)</t>
  </si>
  <si>
    <t>As (mm2)</t>
  </si>
  <si>
    <t>Ac (mm2)</t>
  </si>
  <si>
    <r>
      <rPr>
        <b/>
        <sz val="12"/>
        <rFont val="Calibri"/>
        <charset val="134"/>
        <scheme val="minor"/>
      </rPr>
      <t>ρ</t>
    </r>
    <r>
      <rPr>
        <b/>
        <sz val="11"/>
        <rFont val="Calibri"/>
        <charset val="134"/>
        <scheme val="minor"/>
      </rPr>
      <t>s (rho)</t>
    </r>
  </si>
  <si>
    <t>As/Ac</t>
  </si>
  <si>
    <t>D/t</t>
  </si>
  <si>
    <t>As*fy​</t>
  </si>
  <si>
    <t>Ac*fc</t>
  </si>
  <si>
    <t>fy/fc</t>
  </si>
  <si>
    <r>
      <rPr>
        <b/>
        <sz val="11"/>
        <color theme="1"/>
        <rFont val="Calibri"/>
        <charset val="134"/>
        <scheme val="minor"/>
      </rPr>
      <t>Confinement</t>
    </r>
    <r>
      <rPr>
        <b/>
        <sz val="14"/>
        <color theme="1"/>
        <rFont val="Calibri"/>
        <charset val="134"/>
        <scheme val="minor"/>
      </rPr>
      <t xml:space="preserve"> ᶓ </t>
    </r>
  </si>
  <si>
    <t>Le/r</t>
  </si>
  <si>
    <t>1a</t>
  </si>
  <si>
    <t>Cyl</t>
  </si>
  <si>
    <t>2a</t>
  </si>
  <si>
    <t>3a</t>
  </si>
  <si>
    <t>4a</t>
  </si>
  <si>
    <t>5a</t>
  </si>
  <si>
    <t>6a</t>
  </si>
  <si>
    <t>6b</t>
  </si>
  <si>
    <t>7a</t>
  </si>
  <si>
    <t>7b</t>
  </si>
  <si>
    <t>8a</t>
  </si>
  <si>
    <t>8b</t>
  </si>
  <si>
    <t>9b</t>
  </si>
  <si>
    <t>10b</t>
  </si>
  <si>
    <t>L-20-1</t>
  </si>
  <si>
    <t>L-20-2</t>
  </si>
  <si>
    <t>H-20-1</t>
  </si>
  <si>
    <t>H-20-2</t>
  </si>
  <si>
    <t>L-32-1</t>
  </si>
  <si>
    <t>L-32-2</t>
  </si>
  <si>
    <t>H-32-1</t>
  </si>
  <si>
    <t>H-32-2</t>
  </si>
  <si>
    <t>L-58-1</t>
  </si>
  <si>
    <t>L-58-2</t>
  </si>
  <si>
    <t>H-58-1</t>
  </si>
  <si>
    <t>H-58-2</t>
  </si>
  <si>
    <t>SB 1</t>
  </si>
  <si>
    <t>SB 2</t>
  </si>
  <si>
    <t>SB 6</t>
  </si>
  <si>
    <t>SB 7</t>
  </si>
  <si>
    <t>SB 3</t>
  </si>
  <si>
    <t>SB 4</t>
  </si>
  <si>
    <t>SB 8</t>
  </si>
  <si>
    <t>SB 5</t>
  </si>
  <si>
    <t>SB 9</t>
  </si>
  <si>
    <t>SB 10</t>
  </si>
  <si>
    <t>1-3Y6</t>
  </si>
  <si>
    <t>2-3Y4</t>
  </si>
  <si>
    <t>3-3Y3</t>
  </si>
  <si>
    <t>4-3Y2</t>
  </si>
  <si>
    <t>5-3Y1.5</t>
  </si>
  <si>
    <t xml:space="preserve"> No. 2</t>
  </si>
  <si>
    <t xml:space="preserve"> No. 3</t>
  </si>
  <si>
    <t xml:space="preserve"> No. 4</t>
  </si>
  <si>
    <t xml:space="preserve"> No. 5</t>
  </si>
  <si>
    <t xml:space="preserve"> No. 6</t>
  </si>
  <si>
    <t>S3LA</t>
  </si>
  <si>
    <t>S3HA</t>
  </si>
  <si>
    <t>S6LA</t>
  </si>
  <si>
    <t>S6HA</t>
  </si>
  <si>
    <t>SPLA 1-3Av</t>
  </si>
  <si>
    <t>SPHA 1-3Av</t>
  </si>
  <si>
    <t>TWC1</t>
  </si>
  <si>
    <t>NWC1</t>
  </si>
  <si>
    <t>TWC2</t>
  </si>
  <si>
    <t>NWC2</t>
  </si>
  <si>
    <t>4-0</t>
  </si>
  <si>
    <t>M1a</t>
  </si>
  <si>
    <t>M2a</t>
  </si>
  <si>
    <t>M3a</t>
  </si>
  <si>
    <t>M-FC1</t>
  </si>
  <si>
    <t>M4a</t>
  </si>
  <si>
    <t>M5a</t>
  </si>
  <si>
    <t>M6a</t>
  </si>
  <si>
    <t>M7a</t>
  </si>
  <si>
    <t>M-FC2</t>
  </si>
  <si>
    <t>S30CS50B</t>
  </si>
  <si>
    <t>S20CS50A</t>
  </si>
  <si>
    <t>S16CS50B</t>
  </si>
  <si>
    <t>S12CS50A</t>
  </si>
  <si>
    <t>S10CS50A</t>
  </si>
  <si>
    <t>S30CS80A</t>
  </si>
  <si>
    <t>S20CS80B</t>
  </si>
  <si>
    <t>S16CS80A</t>
  </si>
  <si>
    <t>S12CS80A</t>
  </si>
  <si>
    <t>S10CS80B</t>
  </si>
  <si>
    <t>S30CS10A</t>
  </si>
  <si>
    <t>S20CS10A</t>
  </si>
  <si>
    <t>S16CS10A</t>
  </si>
  <si>
    <t>S12CS10A</t>
  </si>
  <si>
    <t>S10CS10A</t>
  </si>
  <si>
    <t>HSC1-1</t>
  </si>
  <si>
    <t>HSC2-Av.3</t>
  </si>
  <si>
    <t>HSC3-Av.3</t>
  </si>
  <si>
    <t>HSC4-Av.4</t>
  </si>
  <si>
    <t>HSC5-1</t>
  </si>
  <si>
    <t>HSC6-1</t>
  </si>
  <si>
    <t>HSC7-Av.3</t>
  </si>
  <si>
    <t>HSC8-Av.3</t>
  </si>
  <si>
    <t>HSC9-Av.3</t>
  </si>
  <si>
    <t>t10-000</t>
  </si>
  <si>
    <t>t16-000</t>
  </si>
  <si>
    <t>t23-000</t>
  </si>
  <si>
    <t>Cai-13</t>
  </si>
  <si>
    <t>Cai-14</t>
  </si>
  <si>
    <t>Cai-15</t>
  </si>
  <si>
    <t>Cai-16</t>
  </si>
  <si>
    <t>Cai-17</t>
  </si>
  <si>
    <t>Cai-18</t>
  </si>
  <si>
    <t>Cai-19</t>
  </si>
  <si>
    <t>Cai-20</t>
  </si>
  <si>
    <t>Cai-23</t>
  </si>
  <si>
    <t>Cai-24</t>
  </si>
  <si>
    <t>Cai-25</t>
  </si>
  <si>
    <t>Cai-26</t>
  </si>
  <si>
    <t>Cai-27</t>
  </si>
  <si>
    <t>Cai-29</t>
  </si>
  <si>
    <t>Cai-30</t>
  </si>
  <si>
    <t>Cai-31</t>
  </si>
  <si>
    <t>Cai-32</t>
  </si>
  <si>
    <t>Cai-1</t>
  </si>
  <si>
    <t>Cai-2</t>
  </si>
  <si>
    <t>Cai-3</t>
  </si>
  <si>
    <t>Tan-1</t>
  </si>
  <si>
    <t>Tan-2</t>
  </si>
  <si>
    <t>Tan-3</t>
  </si>
  <si>
    <t>Tan-4</t>
  </si>
  <si>
    <t>Tan-5</t>
  </si>
  <si>
    <t>Tan-6</t>
  </si>
  <si>
    <t>Tan-7</t>
  </si>
  <si>
    <t>Tan-8</t>
  </si>
  <si>
    <t>Tan-9</t>
  </si>
  <si>
    <t>Tan-10</t>
  </si>
  <si>
    <t>Tan-11</t>
  </si>
  <si>
    <t>Tan-12</t>
  </si>
  <si>
    <t>Tan-13</t>
  </si>
  <si>
    <t>B-1</t>
  </si>
  <si>
    <t>B-2</t>
  </si>
  <si>
    <t>B-3</t>
  </si>
  <si>
    <t>Tang-12</t>
  </si>
  <si>
    <t>Tang-14</t>
  </si>
  <si>
    <t>Tang-19</t>
  </si>
  <si>
    <t>Tang-20</t>
  </si>
  <si>
    <t>Tang-21</t>
  </si>
  <si>
    <t>Tang-22</t>
  </si>
  <si>
    <t>Tang-23</t>
  </si>
  <si>
    <t>Tang-26</t>
  </si>
  <si>
    <t>Tang-27</t>
  </si>
  <si>
    <t>Tang-28</t>
  </si>
  <si>
    <t>Tang-29</t>
  </si>
  <si>
    <t>Tang-30</t>
  </si>
  <si>
    <t>Tang-31</t>
  </si>
  <si>
    <t>Tang-32</t>
  </si>
  <si>
    <t>Tang-33</t>
  </si>
  <si>
    <t>Tang-34</t>
  </si>
  <si>
    <t>Tang-35</t>
  </si>
  <si>
    <t>Tang-36</t>
  </si>
  <si>
    <t>Tang-37</t>
  </si>
  <si>
    <t>Tang-38</t>
  </si>
  <si>
    <t>Tang-52</t>
  </si>
  <si>
    <t>Tang-56</t>
  </si>
  <si>
    <t>Tang-62</t>
  </si>
  <si>
    <t>Tang-69</t>
  </si>
  <si>
    <t>Tang-72</t>
  </si>
  <si>
    <t>Tang-75</t>
  </si>
  <si>
    <t>C10A-2I-1</t>
  </si>
  <si>
    <t>C10A-2I-2</t>
  </si>
  <si>
    <t>C10A-2I-3</t>
  </si>
  <si>
    <t>C20A-2I</t>
  </si>
  <si>
    <t>C30A-2I</t>
  </si>
  <si>
    <t>C10A-3I-1</t>
  </si>
  <si>
    <t>C10A-3I-2</t>
  </si>
  <si>
    <t>C20A-3I</t>
  </si>
  <si>
    <t>C30A-3I</t>
  </si>
  <si>
    <t>C10A-4I-1</t>
  </si>
  <si>
    <t>C10A-4I-2</t>
  </si>
  <si>
    <t>C20A-4I</t>
  </si>
  <si>
    <t>C30A-4I</t>
  </si>
  <si>
    <t>C10A-2A-1</t>
  </si>
  <si>
    <t>C10A-2A-2</t>
  </si>
  <si>
    <t>C10A-2A-3</t>
  </si>
  <si>
    <t>C20A-2A</t>
  </si>
  <si>
    <t>C30A-2A</t>
  </si>
  <si>
    <t>C10A-3A-1</t>
  </si>
  <si>
    <t>C10A-3A-2</t>
  </si>
  <si>
    <t>C20A-3A</t>
  </si>
  <si>
    <t>C30A-3A</t>
  </si>
  <si>
    <t>C10A-4A-1</t>
  </si>
  <si>
    <t>C10A-4A-2</t>
  </si>
  <si>
    <t>C20A-4A</t>
  </si>
  <si>
    <t>C30A-4A</t>
  </si>
  <si>
    <t>scsc1-1</t>
  </si>
  <si>
    <t>scsc1-2</t>
  </si>
  <si>
    <t>sch1-1</t>
  </si>
  <si>
    <t>sch1-2</t>
  </si>
  <si>
    <t>scv1-1</t>
  </si>
  <si>
    <t>scv1-2</t>
  </si>
  <si>
    <t>scsc2-2</t>
  </si>
  <si>
    <t>sch2-1</t>
  </si>
  <si>
    <t>sch2-2</t>
  </si>
  <si>
    <t>scv2-1</t>
  </si>
  <si>
    <t>scv2-2</t>
  </si>
  <si>
    <t>from col. with M</t>
  </si>
  <si>
    <t>DF1</t>
  </si>
  <si>
    <t>DF1X</t>
  </si>
  <si>
    <t>DF2</t>
  </si>
  <si>
    <t>DF2X</t>
  </si>
  <si>
    <t>G-1</t>
  </si>
  <si>
    <t>Cube 200</t>
  </si>
  <si>
    <t>G-2</t>
  </si>
  <si>
    <t>G-12</t>
  </si>
  <si>
    <t>G-15</t>
  </si>
  <si>
    <t>G-16</t>
  </si>
  <si>
    <t>G-22</t>
  </si>
  <si>
    <t>G-23</t>
  </si>
  <si>
    <t>G-29</t>
  </si>
  <si>
    <t>G-7</t>
  </si>
  <si>
    <t>G-8</t>
  </si>
  <si>
    <t>G-9</t>
  </si>
  <si>
    <t>G-10</t>
  </si>
  <si>
    <t>G-11</t>
  </si>
  <si>
    <t>G-64</t>
  </si>
  <si>
    <t>G-65</t>
  </si>
  <si>
    <t>G-66</t>
  </si>
  <si>
    <t>G-67</t>
  </si>
  <si>
    <t>G-60</t>
  </si>
  <si>
    <t>G-62</t>
  </si>
  <si>
    <t>G-63</t>
  </si>
  <si>
    <t>C-1</t>
  </si>
  <si>
    <t>C-2</t>
  </si>
  <si>
    <t>C-3</t>
  </si>
  <si>
    <t>SPLA-1</t>
  </si>
  <si>
    <t>SPLA-2</t>
  </si>
  <si>
    <t>SPLA-3</t>
  </si>
  <si>
    <t>SPHA-4</t>
  </si>
  <si>
    <t>SPHA-5</t>
  </si>
  <si>
    <t>SPHA-6</t>
  </si>
  <si>
    <t>D1</t>
  </si>
  <si>
    <t>E1</t>
  </si>
  <si>
    <t>SB-1</t>
  </si>
  <si>
    <t>SB-2</t>
  </si>
  <si>
    <t>SB-6</t>
  </si>
  <si>
    <t>SB-7</t>
  </si>
  <si>
    <t>SB-3</t>
  </si>
  <si>
    <t>SB-4</t>
  </si>
  <si>
    <t>SB-8</t>
  </si>
  <si>
    <t>SB-5</t>
  </si>
  <si>
    <t>SB-9</t>
  </si>
  <si>
    <t>SB-10</t>
  </si>
  <si>
    <t>RU11</t>
  </si>
  <si>
    <t>R12CF1</t>
  </si>
  <si>
    <t>R12CF2</t>
  </si>
  <si>
    <t>R12CF3</t>
  </si>
  <si>
    <t>R12CF4</t>
  </si>
  <si>
    <t>R12CF5</t>
  </si>
  <si>
    <t>R12CF7</t>
  </si>
  <si>
    <t>Cube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</si>
  <si>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</si>
  <si>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</si>
  <si>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</si>
  <si>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</si>
  <si>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</si>
  <si>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</si>
  <si>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</si>
  <si>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</si>
  <si>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</si>
  <si>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</si>
  <si>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</si>
  <si>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</si>
  <si>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</si>
  <si>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CC4-A-2</t>
  </si>
  <si>
    <t>CC4-A-4-1</t>
  </si>
  <si>
    <t>CC4-A-4-2</t>
  </si>
  <si>
    <t>CC4-A-8</t>
  </si>
  <si>
    <t>CC4-C-2</t>
  </si>
  <si>
    <t>CC4-C-4-1</t>
  </si>
  <si>
    <t>CC4-C-4-2</t>
  </si>
  <si>
    <t>CC4-C-8</t>
  </si>
  <si>
    <t>CC4-D-2</t>
  </si>
  <si>
    <t>CC4-D-4-1</t>
  </si>
  <si>
    <t>CC4-D-4-2</t>
  </si>
  <si>
    <t>CC4-D-8</t>
  </si>
  <si>
    <t>CC6-A-2</t>
  </si>
  <si>
    <t>CC6-A-4-1</t>
  </si>
  <si>
    <t>CC6-A-4-2</t>
  </si>
  <si>
    <t>CC6-A-8</t>
  </si>
  <si>
    <t>CC6-C-2</t>
  </si>
  <si>
    <t>CC6-C-4-1</t>
  </si>
  <si>
    <t>CC6-C-4-2</t>
  </si>
  <si>
    <t>CC6-C-8</t>
  </si>
  <si>
    <t>CC6-D-2</t>
  </si>
  <si>
    <t>CC6-D-4-1</t>
  </si>
  <si>
    <t>CC6-D-4-2</t>
  </si>
  <si>
    <t>CC6-D-8</t>
  </si>
  <si>
    <t>CC8-A-2</t>
  </si>
  <si>
    <t>CC8-A-4-1</t>
  </si>
  <si>
    <t>CC8-A-4-2</t>
  </si>
  <si>
    <t>CC8-A-8</t>
  </si>
  <si>
    <t>CC8-C-2</t>
  </si>
  <si>
    <t>CC8-C-4-1</t>
  </si>
  <si>
    <t>CC8-C-4-2</t>
  </si>
  <si>
    <t>CC8-C-8</t>
  </si>
  <si>
    <t>CC8-D-2</t>
  </si>
  <si>
    <t>CC8-D-4-1</t>
  </si>
  <si>
    <t>CC8-D-4-2</t>
  </si>
  <si>
    <t>CC8-D-8</t>
  </si>
  <si>
    <t>C30-1</t>
  </si>
  <si>
    <t>C30-2</t>
  </si>
  <si>
    <t>C30-3</t>
  </si>
  <si>
    <t>C30-4</t>
  </si>
  <si>
    <t>CST-16</t>
  </si>
  <si>
    <t>CST-17</t>
  </si>
  <si>
    <t>CST-18</t>
  </si>
  <si>
    <t>CF2.5-1</t>
  </si>
  <si>
    <t>CF2.5-2</t>
  </si>
  <si>
    <t>CF2.5-3</t>
  </si>
  <si>
    <t>CF3-1</t>
  </si>
  <si>
    <t>CF3-2</t>
  </si>
  <si>
    <t>CF3-3</t>
  </si>
  <si>
    <t>CF3.3-1</t>
  </si>
  <si>
    <t>114.3-2.74-300-56</t>
  </si>
  <si>
    <t>114.3-2.74-300-66</t>
  </si>
  <si>
    <t>114.3-2.74-300-107</t>
  </si>
  <si>
    <t>114.3-5.90-300-56</t>
  </si>
  <si>
    <t>114.3-5.90-300-66</t>
  </si>
  <si>
    <t>114.3-5.90-300-107</t>
  </si>
  <si>
    <t>B5</t>
  </si>
  <si>
    <t>B7</t>
  </si>
  <si>
    <t>Cyl 100</t>
  </si>
  <si>
    <t>C16</t>
  </si>
  <si>
    <t>C17</t>
  </si>
  <si>
    <t>C18</t>
  </si>
  <si>
    <t>CFST-1</t>
  </si>
  <si>
    <t>CFST-2</t>
  </si>
  <si>
    <t>Z3</t>
  </si>
  <si>
    <t>Z4</t>
  </si>
  <si>
    <t>Z5</t>
  </si>
  <si>
    <t>S1-3-1(a)</t>
  </si>
  <si>
    <t>S1-3-1(b)</t>
  </si>
  <si>
    <t>S1-3-2(a)</t>
  </si>
  <si>
    <t>S1-3-2(b)</t>
  </si>
  <si>
    <t>S1-3-3(a)</t>
  </si>
  <si>
    <t>S1-3-3(b)</t>
  </si>
  <si>
    <t>S2-1-2</t>
  </si>
  <si>
    <t>S2-1-3</t>
  </si>
  <si>
    <t>S2-1-4</t>
  </si>
  <si>
    <t>S2-2-2</t>
  </si>
  <si>
    <t>S2-2-3</t>
  </si>
  <si>
    <t>S2-2-4</t>
  </si>
  <si>
    <t>CS1-1</t>
  </si>
  <si>
    <t>CS1-2</t>
  </si>
  <si>
    <t>CS1-3</t>
  </si>
  <si>
    <t>CS2-1</t>
  </si>
  <si>
    <t>CS2-2</t>
  </si>
  <si>
    <t>CS2-3</t>
  </si>
  <si>
    <t>CS3-1</t>
  </si>
  <si>
    <t>CS3-2</t>
  </si>
  <si>
    <t>CS3-3</t>
  </si>
  <si>
    <t>C168.3x2.8_30</t>
  </si>
  <si>
    <t>C168.3x2.8_90</t>
  </si>
  <si>
    <t>C159x3_30</t>
  </si>
  <si>
    <t>C159x3_90</t>
  </si>
  <si>
    <t>C120x2.5_30</t>
  </si>
  <si>
    <t>C120x2.5_90</t>
  </si>
  <si>
    <t>C100x3_30</t>
  </si>
  <si>
    <t>C100x3_90</t>
  </si>
  <si>
    <t>C101.6x3_30</t>
  </si>
  <si>
    <t>C101.6x3_90</t>
  </si>
  <si>
    <t>30C-1</t>
  </si>
  <si>
    <t>30C-2</t>
  </si>
  <si>
    <t>50C-1</t>
  </si>
  <si>
    <t>50C-2</t>
  </si>
  <si>
    <t>80C-1</t>
  </si>
  <si>
    <t>80C-2</t>
  </si>
  <si>
    <t>80C-3</t>
  </si>
  <si>
    <t>CFST-LA-1</t>
  </si>
  <si>
    <t>CFST-LA-2</t>
  </si>
  <si>
    <t>CFST-LA-3</t>
  </si>
  <si>
    <t>CFST-LB-1</t>
  </si>
  <si>
    <t>CFST-LB-2</t>
  </si>
  <si>
    <t>CFST-LB-3</t>
  </si>
  <si>
    <t>CFST-LC-1</t>
  </si>
  <si>
    <t>CFST-LC-2</t>
  </si>
  <si>
    <t>CFST-LC-3</t>
  </si>
  <si>
    <t>CFST-LD-1</t>
  </si>
  <si>
    <t>CFST-LD-2</t>
  </si>
  <si>
    <t>CFST-LD-3</t>
  </si>
  <si>
    <t>CFST-MA-1</t>
  </si>
  <si>
    <t>CFST-MA-2</t>
  </si>
  <si>
    <t>CFST-MA-3</t>
  </si>
  <si>
    <t>CFST-MB-1</t>
  </si>
  <si>
    <t>CFST-MB-2</t>
  </si>
  <si>
    <t>CFST-MB-3</t>
  </si>
  <si>
    <t>CFST-MC-1</t>
  </si>
  <si>
    <t>CFST-MC-2</t>
  </si>
  <si>
    <t>CFST-MC-3</t>
  </si>
  <si>
    <t>CFST-MD-1</t>
  </si>
  <si>
    <t>CFST-MD-2</t>
  </si>
  <si>
    <t>CFST-MD-3</t>
  </si>
  <si>
    <t>CFST-HA-1</t>
  </si>
  <si>
    <t>CFST-HA-2</t>
  </si>
  <si>
    <t>CFST-HA-3</t>
  </si>
  <si>
    <t>CFST-HB-1</t>
  </si>
  <si>
    <t>CFST-HB-2</t>
  </si>
  <si>
    <t>CFST-HB-3</t>
  </si>
  <si>
    <t>CFST-HC-1</t>
  </si>
  <si>
    <t>CFST-HC-2</t>
  </si>
  <si>
    <t>CFST-HC-3</t>
  </si>
  <si>
    <t>CFST-HD-1</t>
  </si>
  <si>
    <t>CFST-HD-2</t>
  </si>
  <si>
    <t>CFST-HD-3</t>
  </si>
  <si>
    <t>400-24-31WL-1</t>
  </si>
  <si>
    <t>400-24-31WL-2</t>
  </si>
  <si>
    <t>400-36-31WL-1</t>
  </si>
  <si>
    <t>400-36-31WL-2</t>
  </si>
  <si>
    <t>400-48-31WL-1</t>
  </si>
  <si>
    <t>400-48-31WL-2</t>
  </si>
  <si>
    <t>490-24-31WL-1</t>
  </si>
  <si>
    <t>490-24-31WL-2</t>
  </si>
  <si>
    <t>490-36-31WL-1</t>
  </si>
  <si>
    <t>490-36-31WL-2</t>
  </si>
  <si>
    <t>490-48-31WL-1</t>
  </si>
  <si>
    <t>490-48-31WL-2</t>
  </si>
  <si>
    <t>400-36-26WL-1</t>
  </si>
  <si>
    <t>400-36-26WL-2</t>
  </si>
  <si>
    <t>400-36-36WL-1</t>
  </si>
  <si>
    <t>400-36-36WL-2</t>
  </si>
  <si>
    <t>400-36-48WL-1</t>
  </si>
  <si>
    <t>400-36-48WL-2</t>
  </si>
  <si>
    <t>Cai-4</t>
  </si>
  <si>
    <t>Cai-5</t>
  </si>
  <si>
    <t>Cai-6</t>
  </si>
  <si>
    <t>Cai-9</t>
  </si>
  <si>
    <t>Cai-10</t>
  </si>
  <si>
    <t>Cai-11</t>
  </si>
  <si>
    <t>Cai-12</t>
  </si>
  <si>
    <t>Cai-21</t>
  </si>
  <si>
    <t>Cai-22</t>
  </si>
  <si>
    <t>SC4</t>
  </si>
  <si>
    <t>Tang-15</t>
  </si>
  <si>
    <t>Tang-17</t>
  </si>
  <si>
    <t>Tang-18</t>
  </si>
  <si>
    <t>Tang-53</t>
  </si>
  <si>
    <t>8*</t>
  </si>
  <si>
    <t>GZJ1-1</t>
  </si>
  <si>
    <t>GZJ1-2</t>
  </si>
  <si>
    <t>GZJ1-3</t>
  </si>
  <si>
    <t>G-21</t>
  </si>
  <si>
    <t>G-32</t>
  </si>
  <si>
    <t>G-33</t>
  </si>
  <si>
    <t>G-56</t>
  </si>
  <si>
    <t>G-57</t>
  </si>
  <si>
    <t>G-31</t>
  </si>
  <si>
    <t>G-35</t>
  </si>
  <si>
    <t>G-46</t>
  </si>
  <si>
    <t>G-50</t>
  </si>
  <si>
    <t>G-51</t>
  </si>
  <si>
    <t>G-38</t>
  </si>
  <si>
    <t>G-39</t>
  </si>
  <si>
    <t>G-48</t>
  </si>
  <si>
    <t>G-49</t>
  </si>
  <si>
    <t>G-58</t>
  </si>
  <si>
    <t>G-59</t>
  </si>
  <si>
    <t>G-36</t>
  </si>
  <si>
    <t>G-37</t>
  </si>
  <si>
    <t>G-42</t>
  </si>
  <si>
    <t>G-41</t>
  </si>
  <si>
    <t>G-43</t>
  </si>
  <si>
    <t>G-52</t>
  </si>
  <si>
    <t>C4-0</t>
  </si>
  <si>
    <t>C1</t>
  </si>
  <si>
    <t>C2</t>
  </si>
  <si>
    <t>CA1-1</t>
  </si>
  <si>
    <t>CA1-2</t>
  </si>
  <si>
    <t>CA2-1</t>
  </si>
  <si>
    <t>CA2-2</t>
  </si>
  <si>
    <t>CA3-1</t>
  </si>
  <si>
    <t>CA3-2</t>
  </si>
  <si>
    <t>CA4-1</t>
  </si>
  <si>
    <t>CA4-2</t>
  </si>
  <si>
    <t>CA5-1</t>
  </si>
  <si>
    <t>CA5-2</t>
  </si>
  <si>
    <t>CB1-1</t>
  </si>
  <si>
    <t>CB1-2</t>
  </si>
  <si>
    <t>CB2-1</t>
  </si>
  <si>
    <t>CB2-2</t>
  </si>
  <si>
    <t>CB3-1</t>
  </si>
  <si>
    <t>CB3-2</t>
  </si>
  <si>
    <t>CB4-1</t>
  </si>
  <si>
    <t>CB4-2</t>
  </si>
  <si>
    <t>CB5-1</t>
  </si>
  <si>
    <t>CB5-2</t>
  </si>
  <si>
    <t>CC1-1</t>
  </si>
  <si>
    <t>CC1-2</t>
  </si>
  <si>
    <t>CC2-1</t>
  </si>
  <si>
    <t>CC2-2</t>
  </si>
  <si>
    <t>CC3-1</t>
  </si>
  <si>
    <t>CC3-2</t>
  </si>
  <si>
    <t>UC-47</t>
  </si>
  <si>
    <t>UC-47a</t>
  </si>
  <si>
    <t>UC-62</t>
  </si>
  <si>
    <t>UC-62a</t>
  </si>
  <si>
    <t>UC-78</t>
  </si>
  <si>
    <t>UC-78a</t>
  </si>
  <si>
    <t>UC-94</t>
  </si>
  <si>
    <t>UC-109</t>
  </si>
  <si>
    <t>UC-125</t>
  </si>
  <si>
    <t>S1-1</t>
  </si>
  <si>
    <t>S1-2</t>
  </si>
  <si>
    <t>S1-3</t>
  </si>
  <si>
    <t>S2-1</t>
  </si>
  <si>
    <t>S2-2</t>
  </si>
  <si>
    <t>S2-3</t>
  </si>
  <si>
    <t>S3-1</t>
  </si>
  <si>
    <t>S3-2</t>
  </si>
  <si>
    <t>S3-3</t>
  </si>
  <si>
    <t>C50-3-0</t>
  </si>
  <si>
    <t>C50-3-0.6</t>
  </si>
  <si>
    <t>C50-3-0.9</t>
  </si>
  <si>
    <t>C50-3-1.2</t>
  </si>
  <si>
    <t>C50-4-0</t>
  </si>
  <si>
    <t>C50-4-0.6</t>
  </si>
  <si>
    <t>C50-4-0.9</t>
  </si>
  <si>
    <t>C50-4-1.2</t>
  </si>
  <si>
    <t>C50-5-0</t>
  </si>
  <si>
    <t>C50-5-0.6</t>
  </si>
  <si>
    <t>C50-5-0.9</t>
  </si>
  <si>
    <t>C50-5-1.2</t>
  </si>
  <si>
    <t>C60-3-0</t>
  </si>
  <si>
    <t>C60-3-0.6</t>
  </si>
  <si>
    <t>C60-3-0.9</t>
  </si>
  <si>
    <t>C60-3-1.2</t>
  </si>
  <si>
    <t>C60-4-0</t>
  </si>
  <si>
    <t>C60-4-0.6</t>
  </si>
  <si>
    <t>C60-4-0.9</t>
  </si>
  <si>
    <t>C60-4-1.2</t>
  </si>
  <si>
    <t>C60-5-0</t>
  </si>
  <si>
    <t>C60-5-0.6</t>
  </si>
  <si>
    <t>C60-5-0.9</t>
  </si>
  <si>
    <t>C60-5-1.2</t>
  </si>
  <si>
    <t>C70-3-0</t>
  </si>
  <si>
    <t>C70-3-0.6</t>
  </si>
  <si>
    <t>C70-3-0.9</t>
  </si>
  <si>
    <t>C70-3-1.2</t>
  </si>
  <si>
    <t>C70-4-0</t>
  </si>
  <si>
    <t>C704-0.6</t>
  </si>
  <si>
    <t>C70-4-0.9</t>
  </si>
  <si>
    <t>C70-4-1.2</t>
  </si>
  <si>
    <t>C70-5-0</t>
  </si>
  <si>
    <t>C70-5-0.6</t>
  </si>
  <si>
    <t>C70-5-0.9</t>
  </si>
  <si>
    <t>C70-5-1.2</t>
  </si>
  <si>
    <t>Cai-7</t>
  </si>
  <si>
    <t>Cai-8</t>
  </si>
  <si>
    <t>lcsc1-1</t>
  </si>
  <si>
    <t>lcsc1-2</t>
  </si>
  <si>
    <t>lch1-1</t>
  </si>
  <si>
    <t>lch1-2</t>
  </si>
  <si>
    <t>lcv1</t>
  </si>
  <si>
    <t>28F</t>
  </si>
  <si>
    <t>29F</t>
  </si>
  <si>
    <t>30F</t>
  </si>
  <si>
    <t>71F</t>
  </si>
  <si>
    <t>40F</t>
  </si>
  <si>
    <t>41F</t>
  </si>
  <si>
    <t>42F</t>
  </si>
  <si>
    <t>A1</t>
  </si>
  <si>
    <t>A4</t>
  </si>
  <si>
    <t>A5</t>
  </si>
  <si>
    <t>A6</t>
  </si>
  <si>
    <t>B1</t>
  </si>
  <si>
    <t>B1X</t>
  </si>
  <si>
    <t>B2</t>
  </si>
  <si>
    <t>B2X</t>
  </si>
  <si>
    <t>SC1</t>
  </si>
  <si>
    <t>SC2</t>
  </si>
  <si>
    <t>SC3</t>
  </si>
  <si>
    <t>1'</t>
  </si>
  <si>
    <t>2'</t>
  </si>
  <si>
    <t>3'</t>
  </si>
  <si>
    <t>4'</t>
  </si>
  <si>
    <t>5'</t>
  </si>
  <si>
    <t>6'</t>
  </si>
  <si>
    <t>7'</t>
  </si>
  <si>
    <t>8'</t>
  </si>
  <si>
    <t>9'</t>
  </si>
  <si>
    <t>10'</t>
  </si>
  <si>
    <t>11'</t>
  </si>
  <si>
    <t>SC154-1</t>
  </si>
  <si>
    <t>SC154-2</t>
  </si>
  <si>
    <t>SC154-3</t>
  </si>
  <si>
    <t>SC154-4</t>
  </si>
  <si>
    <t>SC149-1</t>
  </si>
  <si>
    <t>SC149-2</t>
  </si>
  <si>
    <t>SC141-1</t>
  </si>
  <si>
    <t>SC141-2</t>
  </si>
  <si>
    <t>SC130-1</t>
  </si>
  <si>
    <t>SC130-2</t>
  </si>
  <si>
    <t>SC130-3</t>
  </si>
  <si>
    <t>B 60-16</t>
  </si>
  <si>
    <t>B 60-35</t>
  </si>
  <si>
    <t>B 60-45</t>
  </si>
  <si>
    <t>B 60-60</t>
  </si>
  <si>
    <t>B 100-60</t>
  </si>
  <si>
    <t>B 150-16</t>
  </si>
  <si>
    <t>B 150-35</t>
  </si>
  <si>
    <t>B 150-60</t>
  </si>
  <si>
    <t>B 200-16</t>
  </si>
  <si>
    <t>B 200-35</t>
  </si>
  <si>
    <t>B 200-60</t>
  </si>
  <si>
    <t>B 250-16</t>
  </si>
  <si>
    <t>B 250-35</t>
  </si>
  <si>
    <t>B 250-45</t>
  </si>
  <si>
    <t>B 250-60</t>
  </si>
  <si>
    <t>'1'</t>
  </si>
  <si>
    <t>'2'</t>
  </si>
  <si>
    <t>'3'</t>
  </si>
  <si>
    <t>'4'</t>
  </si>
  <si>
    <t>'5'</t>
  </si>
  <si>
    <t>'6'</t>
  </si>
  <si>
    <t>'7'</t>
  </si>
  <si>
    <t>'8'</t>
  </si>
  <si>
    <t>'9'</t>
  </si>
  <si>
    <t>'10'</t>
  </si>
  <si>
    <t>'11'</t>
  </si>
  <si>
    <t>Group B</t>
  </si>
  <si>
    <t>Group C</t>
  </si>
  <si>
    <t>Group D</t>
  </si>
  <si>
    <t>1A2-1-3</t>
  </si>
  <si>
    <t>1A4-1-3</t>
  </si>
  <si>
    <t>1A6-1-6</t>
  </si>
  <si>
    <t>1G2-1,2</t>
  </si>
  <si>
    <t>1G6-1,2</t>
  </si>
  <si>
    <t>2A2-1-3</t>
  </si>
  <si>
    <t>2A4-1-3</t>
  </si>
  <si>
    <t>2A6-1-3</t>
  </si>
  <si>
    <t>2G2-1,2</t>
  </si>
  <si>
    <t>2G6-1,2</t>
  </si>
  <si>
    <t>Cai-28 '84</t>
  </si>
  <si>
    <t>Tang-1</t>
  </si>
  <si>
    <t>Tang-2</t>
  </si>
  <si>
    <t>Tang-3</t>
  </si>
  <si>
    <t>Tang-4</t>
  </si>
  <si>
    <t>Tang-5</t>
  </si>
  <si>
    <t>Tang-6</t>
  </si>
  <si>
    <t>Tang-7</t>
  </si>
  <si>
    <t>Tang-8</t>
  </si>
  <si>
    <t>Tang-9</t>
  </si>
  <si>
    <t>Tang-10</t>
  </si>
  <si>
    <t>Tang-11</t>
  </si>
  <si>
    <t>Tang-13</t>
  </si>
  <si>
    <t>Tang-16</t>
  </si>
  <si>
    <t>Tang-24</t>
  </si>
  <si>
    <t>Tang-25</t>
  </si>
  <si>
    <t>Tang-39</t>
  </si>
  <si>
    <t>Tang-40</t>
  </si>
  <si>
    <t>Tang-41</t>
  </si>
  <si>
    <t>Tang-42</t>
  </si>
  <si>
    <t>Tang-43</t>
  </si>
  <si>
    <t>Tang-44</t>
  </si>
  <si>
    <t>Tang-45</t>
  </si>
  <si>
    <t>Tang-46</t>
  </si>
  <si>
    <t>Tang-47</t>
  </si>
  <si>
    <t>Tang-48</t>
  </si>
  <si>
    <t>Tang-49</t>
  </si>
  <si>
    <t>Tang-50</t>
  </si>
  <si>
    <t>Tang-51</t>
  </si>
  <si>
    <t>Tang-54</t>
  </si>
  <si>
    <t>Tang-55</t>
  </si>
  <si>
    <t>Tang-57</t>
  </si>
  <si>
    <t>Tang-58</t>
  </si>
  <si>
    <t>Tang-59</t>
  </si>
  <si>
    <t>Tang-60</t>
  </si>
  <si>
    <t>Tang-61</t>
  </si>
  <si>
    <t>Tang-63</t>
  </si>
  <si>
    <t>Tang-64</t>
  </si>
  <si>
    <t>Tang-65</t>
  </si>
  <si>
    <t>Tang-66</t>
  </si>
  <si>
    <t>Tang-67</t>
  </si>
  <si>
    <t>Tang-68</t>
  </si>
  <si>
    <t>Tang-70</t>
  </si>
  <si>
    <t>Tang-71</t>
  </si>
  <si>
    <t>Tang-73</t>
  </si>
  <si>
    <t>Tang-74</t>
  </si>
  <si>
    <t>8-0</t>
  </si>
  <si>
    <t>12-0</t>
  </si>
  <si>
    <t>18-0</t>
  </si>
  <si>
    <t>24-0</t>
  </si>
  <si>
    <t>30-0</t>
  </si>
  <si>
    <t>C11N</t>
  </si>
  <si>
    <t>C12N</t>
  </si>
  <si>
    <t>C13LW</t>
  </si>
  <si>
    <t>C14LW</t>
  </si>
  <si>
    <t>C16N</t>
  </si>
  <si>
    <t>C17N</t>
  </si>
  <si>
    <t>C18N</t>
  </si>
  <si>
    <t>C19N</t>
  </si>
  <si>
    <t>C22LW</t>
  </si>
  <si>
    <t>C23LW</t>
  </si>
  <si>
    <t>C24LW</t>
  </si>
  <si>
    <t>C25LW</t>
  </si>
  <si>
    <t>69*</t>
  </si>
  <si>
    <t>9*</t>
  </si>
  <si>
    <t>17*</t>
  </si>
  <si>
    <t>23*</t>
  </si>
  <si>
    <t>24*</t>
  </si>
  <si>
    <t>25*</t>
  </si>
  <si>
    <t>26*</t>
  </si>
  <si>
    <t>27*</t>
  </si>
  <si>
    <t>30*</t>
  </si>
  <si>
    <t>31*</t>
  </si>
  <si>
    <t>32*</t>
  </si>
  <si>
    <t>33*</t>
  </si>
  <si>
    <t>34*</t>
  </si>
  <si>
    <t>35*</t>
  </si>
  <si>
    <t>36*</t>
  </si>
  <si>
    <t>37*</t>
  </si>
  <si>
    <t>38*</t>
  </si>
  <si>
    <t>39*</t>
  </si>
  <si>
    <t>40*</t>
  </si>
  <si>
    <t>41*</t>
  </si>
  <si>
    <t>42*</t>
  </si>
  <si>
    <t>43*</t>
  </si>
  <si>
    <t>44*</t>
  </si>
  <si>
    <t>45*</t>
  </si>
  <si>
    <t>49*</t>
  </si>
  <si>
    <t>50*</t>
  </si>
  <si>
    <t>51*</t>
  </si>
  <si>
    <t>56*</t>
  </si>
  <si>
    <t>70*</t>
  </si>
  <si>
    <t>71*</t>
  </si>
  <si>
    <t>72*</t>
  </si>
  <si>
    <t>73*</t>
  </si>
  <si>
    <t>74*</t>
  </si>
  <si>
    <t>75*</t>
  </si>
  <si>
    <t>76*</t>
  </si>
  <si>
    <t>77*</t>
  </si>
  <si>
    <t>84*</t>
  </si>
  <si>
    <t>85*</t>
  </si>
  <si>
    <t>86*</t>
  </si>
  <si>
    <t>89*</t>
  </si>
  <si>
    <t>90*</t>
  </si>
  <si>
    <t>91*</t>
  </si>
  <si>
    <t>92*</t>
  </si>
  <si>
    <t>101*</t>
  </si>
  <si>
    <t>D-0-1</t>
  </si>
  <si>
    <t>D-0-2</t>
  </si>
  <si>
    <t>L-0</t>
  </si>
  <si>
    <t>A7</t>
  </si>
  <si>
    <t>GZJ2-1</t>
  </si>
  <si>
    <t>GZJ2-2</t>
  </si>
  <si>
    <t>GZJ2-3</t>
  </si>
  <si>
    <t>GZJ3-1</t>
  </si>
  <si>
    <t>GZJ3-2</t>
  </si>
  <si>
    <t>GZJ3-3</t>
  </si>
  <si>
    <t>GZJ4-1</t>
  </si>
  <si>
    <t>GZJ4-2</t>
  </si>
  <si>
    <t>GZJ4-3</t>
  </si>
  <si>
    <t>G-44</t>
  </si>
  <si>
    <t>G-45</t>
  </si>
  <si>
    <t>G-18</t>
  </si>
  <si>
    <t>C-4</t>
  </si>
  <si>
    <t>C-5</t>
  </si>
  <si>
    <t>C-6</t>
  </si>
  <si>
    <t>C-7</t>
  </si>
  <si>
    <t>C-8</t>
  </si>
  <si>
    <t>C-9</t>
  </si>
  <si>
    <t>C-10</t>
  </si>
  <si>
    <t>C-11</t>
  </si>
  <si>
    <t>C-12</t>
  </si>
  <si>
    <t>C-13</t>
  </si>
  <si>
    <t>C-14</t>
  </si>
  <si>
    <t>C-15</t>
  </si>
  <si>
    <t>C-16</t>
  </si>
  <si>
    <t>C-17</t>
  </si>
  <si>
    <t>C-18</t>
  </si>
  <si>
    <t>C-19</t>
  </si>
  <si>
    <t>C-20</t>
  </si>
  <si>
    <t>C-21</t>
  </si>
  <si>
    <t>C-22</t>
  </si>
  <si>
    <t>C-23</t>
  </si>
  <si>
    <t>C-24</t>
  </si>
  <si>
    <t>C-25</t>
  </si>
  <si>
    <t>C-26</t>
  </si>
  <si>
    <t>D2</t>
  </si>
  <si>
    <t>D4</t>
  </si>
  <si>
    <t>D6</t>
  </si>
  <si>
    <t>E6</t>
  </si>
  <si>
    <t>1A2</t>
  </si>
  <si>
    <t>1A4</t>
  </si>
  <si>
    <t>1A6</t>
  </si>
  <si>
    <t>1G2</t>
  </si>
  <si>
    <t>1G6</t>
  </si>
  <si>
    <t>2A2</t>
  </si>
  <si>
    <t>2A4</t>
  </si>
  <si>
    <t>2A6</t>
  </si>
  <si>
    <t>2G2</t>
  </si>
  <si>
    <t>2G6</t>
  </si>
  <si>
    <t>RU14</t>
  </si>
  <si>
    <t>C8-0</t>
  </si>
  <si>
    <t>C12-0</t>
  </si>
  <si>
    <t>C18-0</t>
  </si>
  <si>
    <t>C24-0</t>
  </si>
  <si>
    <t>C30-0</t>
  </si>
  <si>
    <t>SC-38</t>
  </si>
  <si>
    <t>SFE</t>
  </si>
  <si>
    <t>C90-1</t>
  </si>
  <si>
    <t>C90-2</t>
  </si>
  <si>
    <t>C150-1</t>
  </si>
  <si>
    <t>C150-2</t>
  </si>
  <si>
    <t>C300-1</t>
  </si>
  <si>
    <t>C300-2</t>
  </si>
  <si>
    <t>O49C36_30</t>
  </si>
  <si>
    <t>O57C30_30</t>
  </si>
  <si>
    <t>S1-4</t>
  </si>
  <si>
    <t>S1-5</t>
  </si>
  <si>
    <t>S1-6</t>
  </si>
  <si>
    <t>S1-7</t>
  </si>
  <si>
    <t>S1-8</t>
  </si>
  <si>
    <t>S1-9</t>
  </si>
  <si>
    <t>S1-10</t>
  </si>
  <si>
    <t>S1-11</t>
  </si>
  <si>
    <t>S1-12</t>
  </si>
  <si>
    <t>S2-4</t>
  </si>
  <si>
    <t>S2-5</t>
  </si>
  <si>
    <t>S2-6</t>
  </si>
  <si>
    <t>S2-7</t>
  </si>
  <si>
    <t>S2-8</t>
  </si>
  <si>
    <t>S2-9</t>
  </si>
  <si>
    <t>S2-10</t>
  </si>
  <si>
    <t>S2-11</t>
  </si>
  <si>
    <t>S2-12</t>
  </si>
  <si>
    <t>Ccfst-1</t>
  </si>
  <si>
    <t>Ccfst-2</t>
  </si>
  <si>
    <t>114.3-2.74-600-56</t>
  </si>
  <si>
    <t>114.3-2.74-600-66</t>
  </si>
  <si>
    <t>114.3-2.74-600-107</t>
  </si>
  <si>
    <t>114.3-5.90-600-56</t>
  </si>
  <si>
    <t>114.3-5.90-600-66</t>
  </si>
  <si>
    <t>114.3-5.90-600-107</t>
  </si>
  <si>
    <t>114.3-2.74-900-56</t>
  </si>
  <si>
    <t>114.3-2.74-900-66</t>
  </si>
  <si>
    <t>114.3-2.74-900-107</t>
  </si>
  <si>
    <t>114.3-5.90-900-56</t>
  </si>
  <si>
    <t>114.3-5.90-900-66</t>
  </si>
  <si>
    <t>B3</t>
  </si>
  <si>
    <t>BP9</t>
  </si>
  <si>
    <t>BP10</t>
  </si>
  <si>
    <t>CS-1</t>
  </si>
  <si>
    <t>CS-4</t>
  </si>
  <si>
    <t>D1t1M30L1</t>
  </si>
  <si>
    <t>Cube 100</t>
  </si>
  <si>
    <t>D1t2M30L1</t>
  </si>
  <si>
    <t>D1t3M30L1</t>
  </si>
  <si>
    <t>D1t1M40L1</t>
  </si>
  <si>
    <t>D1t2M40L1</t>
  </si>
  <si>
    <t>D1t3M40L1</t>
  </si>
  <si>
    <t>D1t1M50L1</t>
  </si>
  <si>
    <t>D1t2M50L1</t>
  </si>
  <si>
    <t>D1t3M50L1</t>
  </si>
  <si>
    <t>D2t1M30L1</t>
  </si>
  <si>
    <t>D2t2M30L1</t>
  </si>
  <si>
    <t>D2t3M30L1</t>
  </si>
  <si>
    <t>D2t2M40L1</t>
  </si>
  <si>
    <t>D2t3M40L1</t>
  </si>
  <si>
    <t>D2t1M50L1</t>
  </si>
  <si>
    <t>D2t2M50L1</t>
  </si>
  <si>
    <t>D2t3M50L1</t>
  </si>
  <si>
    <t>D3t1M30L1</t>
  </si>
  <si>
    <t>D3t2M30L1</t>
  </si>
  <si>
    <t>D3t3M30L1</t>
  </si>
  <si>
    <t>D3t1M40L1</t>
  </si>
  <si>
    <t>D3t2M40L1</t>
  </si>
  <si>
    <t>D3t3M40L1</t>
  </si>
  <si>
    <t>D3t1M50L1</t>
  </si>
  <si>
    <t>D3t2M50L1</t>
  </si>
  <si>
    <t>D3t3M50L1</t>
  </si>
  <si>
    <t>D1t1M30L2</t>
  </si>
  <si>
    <t>D1t2M30L2</t>
  </si>
  <si>
    <t>D1t3M30L2</t>
  </si>
  <si>
    <t>D1t1M40L2</t>
  </si>
  <si>
    <t>D1t2M40L2</t>
  </si>
  <si>
    <t>D1t3M40L2</t>
  </si>
  <si>
    <t>D1t1M50L2</t>
  </si>
  <si>
    <t>D1t2M50L2</t>
  </si>
  <si>
    <t>D1t3M50L2</t>
  </si>
  <si>
    <t>D2t1M30L2</t>
  </si>
  <si>
    <t>D2t2M30L2</t>
  </si>
  <si>
    <t>D2t3M30L2</t>
  </si>
  <si>
    <t>D2t2M40L2</t>
  </si>
  <si>
    <t>D2t3M40L2</t>
  </si>
  <si>
    <t>D2t1M50L2</t>
  </si>
  <si>
    <t>D2t2M50L2</t>
  </si>
  <si>
    <t>D2t3M50L2</t>
  </si>
  <si>
    <t>D3t1M30L2</t>
  </si>
  <si>
    <t>D3t2M30L2</t>
  </si>
  <si>
    <t>D3t3M30L2</t>
  </si>
  <si>
    <t>D3t1M40L2</t>
  </si>
  <si>
    <t>D3t2M40L2</t>
  </si>
  <si>
    <t>D3t3M40L2</t>
  </si>
  <si>
    <t>D3t1M50L2</t>
  </si>
  <si>
    <t>D3t2M50L2</t>
  </si>
  <si>
    <t>D3t3M50L2</t>
  </si>
  <si>
    <t>D1t1M30L3</t>
  </si>
  <si>
    <t>D1t2M30L3</t>
  </si>
  <si>
    <t>D1t3M30L3</t>
  </si>
  <si>
    <t>D1t1M40L3</t>
  </si>
  <si>
    <t>D1t2M40L3</t>
  </si>
  <si>
    <t>D1t3M40L3</t>
  </si>
  <si>
    <t>D1t1M50L3</t>
  </si>
  <si>
    <t>D1t2M50L3</t>
  </si>
  <si>
    <t>D1t3M50L3</t>
  </si>
  <si>
    <t>D2t1M30L3</t>
  </si>
  <si>
    <t>D2t2M30L3</t>
  </si>
  <si>
    <t>D2t3M30L3</t>
  </si>
  <si>
    <t>D2t2M40L3</t>
  </si>
  <si>
    <t>D2t3M40L3</t>
  </si>
  <si>
    <t>D2t1M50L3</t>
  </si>
  <si>
    <t>D2t2M50L3</t>
  </si>
  <si>
    <t>D2t3M50L3</t>
  </si>
  <si>
    <t>D3t1M30L3</t>
  </si>
  <si>
    <t>D3t2M30L3</t>
  </si>
  <si>
    <t>D3t3M30L3</t>
  </si>
  <si>
    <t>D3t1M40L3</t>
  </si>
  <si>
    <t>D3t2M40L3</t>
  </si>
  <si>
    <t>D3t3M40L3</t>
  </si>
  <si>
    <t>D3t1M50L3</t>
  </si>
  <si>
    <t>D3t2M50L3</t>
  </si>
  <si>
    <t>D3t3M50L3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</si>
</sst>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_)"/>
    <numFmt numFmtId="179" formatCode="0.00_ "/>
  </numFmts>
  <fonts count="29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Courier"/>
      <charset val="134"/>
    </font>
    <font>
      <b/>
      <sz val="14"/>
      <color theme="1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7" fillId="0" borderId="0" applyBorder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1" xfId="49" applyNumberFormat="1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178" fontId="2" fillId="0" borderId="1" xfId="49" applyNumberFormat="1" applyFont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7" fillId="0" borderId="1" xfId="49" applyFont="1" applyBorder="1" applyAlignment="1">
      <alignment horizontal="center" vertical="center"/>
    </xf>
    <xf numFmtId="2" fontId="7" fillId="0" borderId="1" xfId="49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quotePrefix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HORT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1246"/>
  <sheetViews>
    <sheetView tabSelected="1" workbookViewId="0">
      <pane ySplit="1" topLeftCell="A2" activePane="bottomLeft" state="frozen"/>
      <selection/>
      <selection pane="bottomLeft" activeCell="D7" sqref="D7"/>
    </sheetView>
  </sheetViews>
  <sheetFormatPr defaultColWidth="9" defaultRowHeight="14.5"/>
  <cols>
    <col min="1" max="1" width="15.4545454545455" style="3" customWidth="1"/>
    <col min="2" max="2" width="10.2818181818182" customWidth="1"/>
    <col min="3" max="3" width="9.13636363636364" customWidth="1"/>
    <col min="4" max="4" width="10.2818181818182" customWidth="1"/>
    <col min="5" max="5" width="9.57272727272727" customWidth="1"/>
    <col min="6" max="6" width="11" customWidth="1"/>
    <col min="7" max="7" width="14.5727272727273" style="3" customWidth="1"/>
    <col min="8" max="8" width="12.2818181818182" customWidth="1"/>
    <col min="9" max="12" width="12.7090909090909" customWidth="1"/>
    <col min="13" max="13" width="10.6363636363636"/>
    <col min="15" max="15" width="14.6363636363636"/>
    <col min="16" max="16" width="12.3636363636364"/>
    <col min="18" max="18" width="14.2727272727273" customWidth="1"/>
  </cols>
  <sheetData>
    <row r="1" ht="18.5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0" t="s">
        <v>8</v>
      </c>
      <c r="J1" s="10" t="s">
        <v>9</v>
      </c>
      <c r="K1" s="11" t="s">
        <v>10</v>
      </c>
      <c r="L1" s="12" t="s">
        <v>11</v>
      </c>
      <c r="M1" s="12" t="s">
        <v>12</v>
      </c>
      <c r="N1" s="12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7" t="s">
        <v>18</v>
      </c>
    </row>
    <row r="2" spans="1:19">
      <c r="A2" s="5" t="s">
        <v>19</v>
      </c>
      <c r="B2" s="6">
        <v>168.8</v>
      </c>
      <c r="C2" s="6">
        <v>2.64</v>
      </c>
      <c r="D2" s="7">
        <v>305</v>
      </c>
      <c r="E2" s="6">
        <v>302.4</v>
      </c>
      <c r="F2" s="6">
        <v>18.2</v>
      </c>
      <c r="G2" s="5" t="s">
        <v>20</v>
      </c>
      <c r="H2" s="6">
        <v>1326</v>
      </c>
      <c r="I2" s="14">
        <f>(PI()*B2^2)/4</f>
        <v>22378.6954448754</v>
      </c>
      <c r="J2" s="15">
        <f>(PI()*(B2^2-(B2-2*C2)^2))/4</f>
        <v>1378.09857324607</v>
      </c>
      <c r="K2" s="15">
        <f>(PI()*(B2-2*C2)^2)/4</f>
        <v>21000.5968716293</v>
      </c>
      <c r="L2" s="15">
        <f>J2/I2</f>
        <v>0.0615808270254487</v>
      </c>
      <c r="M2" s="15">
        <f>J2/K2</f>
        <v>0.0656218764480835</v>
      </c>
      <c r="N2" s="16">
        <f>B2/C2</f>
        <v>63.9393939393939</v>
      </c>
      <c r="O2" s="16">
        <f>J2*E2</f>
        <v>416737.008549611</v>
      </c>
      <c r="P2" s="16">
        <f>K2*F2</f>
        <v>382210.863063654</v>
      </c>
      <c r="Q2" s="16">
        <f>E2/F2</f>
        <v>16.6153846153846</v>
      </c>
      <c r="R2" s="16">
        <f>O2/P2</f>
        <v>1.09033271636816</v>
      </c>
      <c r="S2" s="16">
        <v>7.22748815165877</v>
      </c>
    </row>
    <row r="3" spans="1:19">
      <c r="A3" s="5" t="s">
        <v>21</v>
      </c>
      <c r="B3" s="6">
        <v>168.8</v>
      </c>
      <c r="C3" s="6">
        <v>2.64</v>
      </c>
      <c r="D3" s="7">
        <v>305</v>
      </c>
      <c r="E3" s="6">
        <v>302.4</v>
      </c>
      <c r="F3" s="6">
        <v>34.7</v>
      </c>
      <c r="G3" s="5" t="s">
        <v>20</v>
      </c>
      <c r="H3" s="6">
        <v>1219</v>
      </c>
      <c r="I3" s="14">
        <f t="shared" ref="I3:I66" si="0">(PI()*B3^2)/4</f>
        <v>22378.6954448754</v>
      </c>
      <c r="J3" s="15">
        <f t="shared" ref="J3:J66" si="1">(PI()*(B3^2-(B3-2*C3)^2))/4</f>
        <v>1378.09857324607</v>
      </c>
      <c r="K3" s="15">
        <f t="shared" ref="K3:K66" si="2">(PI()*(B3-2*C3)^2)/4</f>
        <v>21000.5968716293</v>
      </c>
      <c r="L3" s="15">
        <f t="shared" ref="L3:L66" si="3">J3/I3</f>
        <v>0.0615808270254487</v>
      </c>
      <c r="M3" s="15">
        <f t="shared" ref="M3:M66" si="4">J3/K3</f>
        <v>0.0656218764480835</v>
      </c>
      <c r="N3" s="16">
        <f t="shared" ref="N3:N66" si="5">B3/C3</f>
        <v>63.9393939393939</v>
      </c>
      <c r="O3" s="16">
        <f t="shared" ref="O3:O66" si="6">J3*E3</f>
        <v>416737.008549611</v>
      </c>
      <c r="P3" s="16">
        <f t="shared" ref="P3:P66" si="7">K3*F3</f>
        <v>728720.711445538</v>
      </c>
      <c r="Q3" s="16">
        <f t="shared" ref="Q3:Q66" si="8">E3/F3</f>
        <v>8.71469740634006</v>
      </c>
      <c r="R3" s="16">
        <f t="shared" ref="R3:R66" si="9">O3/P3</f>
        <v>0.571874796481281</v>
      </c>
      <c r="S3" s="16">
        <v>7.22748815165877</v>
      </c>
    </row>
    <row r="4" spans="1:19">
      <c r="A4" s="5" t="s">
        <v>22</v>
      </c>
      <c r="B4" s="6">
        <v>169.3</v>
      </c>
      <c r="C4" s="6">
        <v>2.62</v>
      </c>
      <c r="D4" s="7">
        <v>305</v>
      </c>
      <c r="E4" s="6">
        <v>338.1</v>
      </c>
      <c r="F4" s="6">
        <v>37.1</v>
      </c>
      <c r="G4" s="5" t="s">
        <v>20</v>
      </c>
      <c r="H4" s="6">
        <v>1308</v>
      </c>
      <c r="I4" s="14">
        <f t="shared" si="0"/>
        <v>22511.4670043977</v>
      </c>
      <c r="J4" s="15">
        <f t="shared" si="1"/>
        <v>1371.93853837091</v>
      </c>
      <c r="K4" s="15">
        <f t="shared" si="2"/>
        <v>21139.5284660268</v>
      </c>
      <c r="L4" s="15">
        <f t="shared" si="3"/>
        <v>0.0609439863738288</v>
      </c>
      <c r="M4" s="15">
        <f t="shared" si="4"/>
        <v>0.0648992024857955</v>
      </c>
      <c r="N4" s="16">
        <f t="shared" si="5"/>
        <v>64.618320610687</v>
      </c>
      <c r="O4" s="16">
        <f t="shared" si="6"/>
        <v>463852.419823205</v>
      </c>
      <c r="P4" s="16">
        <f t="shared" si="7"/>
        <v>784276.506089595</v>
      </c>
      <c r="Q4" s="16">
        <f t="shared" si="8"/>
        <v>9.11320754716981</v>
      </c>
      <c r="R4" s="16">
        <f t="shared" si="9"/>
        <v>0.591439901898853</v>
      </c>
      <c r="S4" s="16">
        <v>7.20614294152392</v>
      </c>
    </row>
    <row r="5" spans="1:19">
      <c r="A5" s="5" t="s">
        <v>23</v>
      </c>
      <c r="B5" s="6">
        <v>169.3</v>
      </c>
      <c r="C5" s="6">
        <v>2.62</v>
      </c>
      <c r="D5" s="7">
        <v>305</v>
      </c>
      <c r="E5" s="6">
        <v>338.1</v>
      </c>
      <c r="F5" s="6">
        <v>34.1</v>
      </c>
      <c r="G5" s="5" t="s">
        <v>20</v>
      </c>
      <c r="H5" s="6">
        <v>1330</v>
      </c>
      <c r="I5" s="14">
        <f t="shared" si="0"/>
        <v>22511.4670043977</v>
      </c>
      <c r="J5" s="15">
        <f t="shared" si="1"/>
        <v>1371.93853837091</v>
      </c>
      <c r="K5" s="15">
        <f t="shared" si="2"/>
        <v>21139.5284660268</v>
      </c>
      <c r="L5" s="15">
        <f t="shared" si="3"/>
        <v>0.0609439863738288</v>
      </c>
      <c r="M5" s="15">
        <f t="shared" si="4"/>
        <v>0.0648992024857955</v>
      </c>
      <c r="N5" s="16">
        <f t="shared" si="5"/>
        <v>64.618320610687</v>
      </c>
      <c r="O5" s="16">
        <f t="shared" si="6"/>
        <v>463852.419823205</v>
      </c>
      <c r="P5" s="16">
        <f t="shared" si="7"/>
        <v>720857.920691515</v>
      </c>
      <c r="Q5" s="16">
        <f t="shared" si="8"/>
        <v>9.91495601173021</v>
      </c>
      <c r="R5" s="16">
        <f t="shared" si="9"/>
        <v>0.643472737843034</v>
      </c>
      <c r="S5" s="16">
        <v>7.20614294152392</v>
      </c>
    </row>
    <row r="6" spans="1:19">
      <c r="A6" s="5" t="s">
        <v>24</v>
      </c>
      <c r="B6" s="6">
        <v>168.3</v>
      </c>
      <c r="C6" s="6">
        <v>3.6</v>
      </c>
      <c r="D6" s="7">
        <v>305</v>
      </c>
      <c r="E6" s="6">
        <v>288.4</v>
      </c>
      <c r="F6" s="6">
        <v>27</v>
      </c>
      <c r="G6" s="5" t="s">
        <v>20</v>
      </c>
      <c r="H6" s="6">
        <v>1557</v>
      </c>
      <c r="I6" s="14">
        <f t="shared" si="0"/>
        <v>22246.3165844347</v>
      </c>
      <c r="J6" s="15">
        <f t="shared" si="1"/>
        <v>1862.71311616646</v>
      </c>
      <c r="K6" s="15">
        <f t="shared" si="2"/>
        <v>20383.6034682683</v>
      </c>
      <c r="L6" s="15">
        <f t="shared" si="3"/>
        <v>0.0837313048700276</v>
      </c>
      <c r="M6" s="15">
        <f t="shared" si="4"/>
        <v>0.0913829156393369</v>
      </c>
      <c r="N6" s="16">
        <f t="shared" si="5"/>
        <v>46.75</v>
      </c>
      <c r="O6" s="16">
        <f t="shared" si="6"/>
        <v>537206.462702406</v>
      </c>
      <c r="P6" s="16">
        <f t="shared" si="7"/>
        <v>550357.293643244</v>
      </c>
      <c r="Q6" s="16">
        <f t="shared" si="8"/>
        <v>10.6814814814815</v>
      </c>
      <c r="R6" s="16">
        <f t="shared" si="9"/>
        <v>0.976104921125362</v>
      </c>
      <c r="S6" s="16">
        <v>7.24896019013666</v>
      </c>
    </row>
    <row r="7" spans="1:19">
      <c r="A7" s="5" t="s">
        <v>25</v>
      </c>
      <c r="B7" s="6">
        <v>168.3</v>
      </c>
      <c r="C7" s="6">
        <v>3.6</v>
      </c>
      <c r="D7" s="7">
        <v>305</v>
      </c>
      <c r="E7" s="6">
        <v>288.4</v>
      </c>
      <c r="F7" s="6">
        <v>33.3</v>
      </c>
      <c r="G7" s="5" t="s">
        <v>20</v>
      </c>
      <c r="H7" s="6">
        <v>1432</v>
      </c>
      <c r="I7" s="14">
        <f t="shared" si="0"/>
        <v>22246.3165844347</v>
      </c>
      <c r="J7" s="15">
        <f t="shared" si="1"/>
        <v>1862.71311616646</v>
      </c>
      <c r="K7" s="15">
        <f t="shared" si="2"/>
        <v>20383.6034682683</v>
      </c>
      <c r="L7" s="15">
        <f t="shared" si="3"/>
        <v>0.0837313048700276</v>
      </c>
      <c r="M7" s="15">
        <f t="shared" si="4"/>
        <v>0.0913829156393369</v>
      </c>
      <c r="N7" s="16">
        <f t="shared" si="5"/>
        <v>46.75</v>
      </c>
      <c r="O7" s="16">
        <f t="shared" si="6"/>
        <v>537206.462702406</v>
      </c>
      <c r="P7" s="16">
        <f t="shared" si="7"/>
        <v>678773.995493334</v>
      </c>
      <c r="Q7" s="16">
        <f t="shared" si="8"/>
        <v>8.66066066066066</v>
      </c>
      <c r="R7" s="16">
        <f t="shared" si="9"/>
        <v>0.791436422534077</v>
      </c>
      <c r="S7" s="16">
        <v>7.24896019013666</v>
      </c>
    </row>
    <row r="8" spans="1:19">
      <c r="A8" s="5" t="s">
        <v>26</v>
      </c>
      <c r="B8" s="6">
        <v>168.3</v>
      </c>
      <c r="C8" s="6">
        <v>3.6</v>
      </c>
      <c r="D8" s="7">
        <v>305</v>
      </c>
      <c r="E8" s="6">
        <v>288.4</v>
      </c>
      <c r="F8" s="6">
        <v>33.3</v>
      </c>
      <c r="G8" s="5" t="s">
        <v>20</v>
      </c>
      <c r="H8" s="6">
        <v>1463</v>
      </c>
      <c r="I8" s="14">
        <f t="shared" si="0"/>
        <v>22246.3165844347</v>
      </c>
      <c r="J8" s="15">
        <f t="shared" si="1"/>
        <v>1862.71311616646</v>
      </c>
      <c r="K8" s="15">
        <f t="shared" si="2"/>
        <v>20383.6034682683</v>
      </c>
      <c r="L8" s="15">
        <f t="shared" si="3"/>
        <v>0.0837313048700276</v>
      </c>
      <c r="M8" s="15">
        <f t="shared" si="4"/>
        <v>0.0913829156393369</v>
      </c>
      <c r="N8" s="16">
        <f t="shared" si="5"/>
        <v>46.75</v>
      </c>
      <c r="O8" s="16">
        <f t="shared" si="6"/>
        <v>537206.462702406</v>
      </c>
      <c r="P8" s="16">
        <f t="shared" si="7"/>
        <v>678773.995493334</v>
      </c>
      <c r="Q8" s="16">
        <f t="shared" si="8"/>
        <v>8.66066066066066</v>
      </c>
      <c r="R8" s="16">
        <f t="shared" si="9"/>
        <v>0.791436422534077</v>
      </c>
      <c r="S8" s="16">
        <v>7.24896019013666</v>
      </c>
    </row>
    <row r="9" spans="1:19">
      <c r="A9" s="5" t="s">
        <v>27</v>
      </c>
      <c r="B9" s="6">
        <v>168.8</v>
      </c>
      <c r="C9" s="6">
        <v>5</v>
      </c>
      <c r="D9" s="7">
        <v>305</v>
      </c>
      <c r="E9" s="6">
        <v>200.2</v>
      </c>
      <c r="F9" s="6">
        <v>33.4</v>
      </c>
      <c r="G9" s="5" t="s">
        <v>20</v>
      </c>
      <c r="H9" s="6">
        <v>1966</v>
      </c>
      <c r="I9" s="14">
        <f t="shared" si="0"/>
        <v>22378.6954448754</v>
      </c>
      <c r="J9" s="15">
        <f t="shared" si="1"/>
        <v>2572.96438329004</v>
      </c>
      <c r="K9" s="15">
        <f t="shared" si="2"/>
        <v>19805.7310615853</v>
      </c>
      <c r="L9" s="15">
        <f t="shared" si="3"/>
        <v>0.114973832573392</v>
      </c>
      <c r="M9" s="15">
        <f t="shared" si="4"/>
        <v>0.129910093966715</v>
      </c>
      <c r="N9" s="16">
        <f t="shared" si="5"/>
        <v>33.76</v>
      </c>
      <c r="O9" s="16">
        <f t="shared" si="6"/>
        <v>515107.469534666</v>
      </c>
      <c r="P9" s="16">
        <f t="shared" si="7"/>
        <v>661511.417456951</v>
      </c>
      <c r="Q9" s="16">
        <f t="shared" si="8"/>
        <v>5.9940119760479</v>
      </c>
      <c r="R9" s="16">
        <f t="shared" si="9"/>
        <v>0.778682659045999</v>
      </c>
      <c r="S9" s="16">
        <v>7.22748815165877</v>
      </c>
    </row>
    <row r="10" spans="1:19">
      <c r="A10" s="5" t="s">
        <v>28</v>
      </c>
      <c r="B10" s="6">
        <v>168.8</v>
      </c>
      <c r="C10" s="6">
        <v>5</v>
      </c>
      <c r="D10" s="7">
        <v>305</v>
      </c>
      <c r="E10" s="6">
        <v>200.2</v>
      </c>
      <c r="F10" s="6">
        <v>33.4</v>
      </c>
      <c r="G10" s="5" t="s">
        <v>20</v>
      </c>
      <c r="H10" s="6">
        <v>1970</v>
      </c>
      <c r="I10" s="14">
        <f t="shared" si="0"/>
        <v>22378.6954448754</v>
      </c>
      <c r="J10" s="15">
        <f t="shared" si="1"/>
        <v>2572.96438329004</v>
      </c>
      <c r="K10" s="15">
        <f t="shared" si="2"/>
        <v>19805.7310615853</v>
      </c>
      <c r="L10" s="15">
        <f t="shared" si="3"/>
        <v>0.114973832573392</v>
      </c>
      <c r="M10" s="15">
        <f t="shared" si="4"/>
        <v>0.129910093966715</v>
      </c>
      <c r="N10" s="16">
        <f t="shared" si="5"/>
        <v>33.76</v>
      </c>
      <c r="O10" s="16">
        <f t="shared" si="6"/>
        <v>515107.469534666</v>
      </c>
      <c r="P10" s="16">
        <f t="shared" si="7"/>
        <v>661511.417456951</v>
      </c>
      <c r="Q10" s="16">
        <f t="shared" si="8"/>
        <v>5.9940119760479</v>
      </c>
      <c r="R10" s="16">
        <f t="shared" si="9"/>
        <v>0.778682659045999</v>
      </c>
      <c r="S10" s="16">
        <v>7.22748815165877</v>
      </c>
    </row>
    <row r="11" spans="1:19">
      <c r="A11" s="5" t="s">
        <v>29</v>
      </c>
      <c r="B11" s="6">
        <v>168.8</v>
      </c>
      <c r="C11" s="6">
        <v>5</v>
      </c>
      <c r="D11" s="7">
        <v>305</v>
      </c>
      <c r="E11" s="6">
        <v>200.2</v>
      </c>
      <c r="F11" s="6">
        <v>27.9</v>
      </c>
      <c r="G11" s="5" t="s">
        <v>20</v>
      </c>
      <c r="H11" s="6">
        <v>1984</v>
      </c>
      <c r="I11" s="14">
        <f t="shared" si="0"/>
        <v>22378.6954448754</v>
      </c>
      <c r="J11" s="15">
        <f t="shared" si="1"/>
        <v>2572.96438329004</v>
      </c>
      <c r="K11" s="15">
        <f t="shared" si="2"/>
        <v>19805.7310615853</v>
      </c>
      <c r="L11" s="15">
        <f t="shared" si="3"/>
        <v>0.114973832573392</v>
      </c>
      <c r="M11" s="15">
        <f t="shared" si="4"/>
        <v>0.129910093966715</v>
      </c>
      <c r="N11" s="16">
        <f t="shared" si="5"/>
        <v>33.76</v>
      </c>
      <c r="O11" s="16">
        <f t="shared" si="6"/>
        <v>515107.469534666</v>
      </c>
      <c r="P11" s="16">
        <f t="shared" si="7"/>
        <v>552579.896618231</v>
      </c>
      <c r="Q11" s="16">
        <f t="shared" si="8"/>
        <v>7.17562724014337</v>
      </c>
      <c r="R11" s="16">
        <f t="shared" si="9"/>
        <v>0.932186409037146</v>
      </c>
      <c r="S11" s="16">
        <v>7.22748815165877</v>
      </c>
    </row>
    <row r="12" spans="1:19">
      <c r="A12" s="5" t="s">
        <v>30</v>
      </c>
      <c r="B12" s="6">
        <v>168.8</v>
      </c>
      <c r="C12" s="6">
        <v>5</v>
      </c>
      <c r="D12" s="7">
        <v>305</v>
      </c>
      <c r="E12" s="6">
        <v>200.2</v>
      </c>
      <c r="F12" s="6">
        <v>27.9</v>
      </c>
      <c r="G12" s="5" t="s">
        <v>20</v>
      </c>
      <c r="H12" s="6">
        <v>1984</v>
      </c>
      <c r="I12" s="14">
        <f t="shared" si="0"/>
        <v>22378.6954448754</v>
      </c>
      <c r="J12" s="15">
        <f t="shared" si="1"/>
        <v>2572.96438329004</v>
      </c>
      <c r="K12" s="15">
        <f t="shared" si="2"/>
        <v>19805.7310615853</v>
      </c>
      <c r="L12" s="15">
        <f t="shared" si="3"/>
        <v>0.114973832573392</v>
      </c>
      <c r="M12" s="15">
        <f t="shared" si="4"/>
        <v>0.129910093966715</v>
      </c>
      <c r="N12" s="16">
        <f t="shared" si="5"/>
        <v>33.76</v>
      </c>
      <c r="O12" s="16">
        <f t="shared" si="6"/>
        <v>515107.469534666</v>
      </c>
      <c r="P12" s="16">
        <f t="shared" si="7"/>
        <v>552579.896618231</v>
      </c>
      <c r="Q12" s="16">
        <f t="shared" si="8"/>
        <v>7.17562724014337</v>
      </c>
      <c r="R12" s="16">
        <f t="shared" si="9"/>
        <v>0.932186409037146</v>
      </c>
      <c r="S12" s="16">
        <v>7.22748815165877</v>
      </c>
    </row>
    <row r="13" spans="1:19">
      <c r="A13" s="5" t="s">
        <v>31</v>
      </c>
      <c r="B13" s="6">
        <v>114.3</v>
      </c>
      <c r="C13" s="6">
        <v>3.5</v>
      </c>
      <c r="D13" s="6">
        <v>229</v>
      </c>
      <c r="E13" s="6">
        <v>350</v>
      </c>
      <c r="F13" s="6">
        <v>33.4</v>
      </c>
      <c r="G13" s="5" t="s">
        <v>20</v>
      </c>
      <c r="H13" s="6">
        <v>969</v>
      </c>
      <c r="I13" s="14">
        <f t="shared" si="0"/>
        <v>10260.8264517243</v>
      </c>
      <c r="J13" s="15">
        <f t="shared" si="1"/>
        <v>1218.30963106212</v>
      </c>
      <c r="K13" s="15">
        <f t="shared" si="2"/>
        <v>9042.51682066221</v>
      </c>
      <c r="L13" s="15">
        <f t="shared" si="3"/>
        <v>0.118734064628623</v>
      </c>
      <c r="M13" s="15">
        <f t="shared" si="4"/>
        <v>0.134731254055096</v>
      </c>
      <c r="N13" s="16">
        <f t="shared" si="5"/>
        <v>32.6571428571429</v>
      </c>
      <c r="O13" s="16">
        <f t="shared" si="6"/>
        <v>426408.370871743</v>
      </c>
      <c r="P13" s="16">
        <f t="shared" si="7"/>
        <v>302020.061810118</v>
      </c>
      <c r="Q13" s="16">
        <f t="shared" si="8"/>
        <v>10.4790419161677</v>
      </c>
      <c r="R13" s="16">
        <f t="shared" si="9"/>
        <v>1.41185445866119</v>
      </c>
      <c r="S13" s="16">
        <v>8.01399825021872</v>
      </c>
    </row>
    <row r="14" spans="1:19">
      <c r="A14" s="5" t="s">
        <v>32</v>
      </c>
      <c r="B14" s="6">
        <v>114.3</v>
      </c>
      <c r="C14" s="6">
        <v>4.5</v>
      </c>
      <c r="D14" s="6">
        <v>229</v>
      </c>
      <c r="E14" s="6">
        <v>339</v>
      </c>
      <c r="F14" s="6">
        <v>33.4</v>
      </c>
      <c r="G14" s="5" t="s">
        <v>20</v>
      </c>
      <c r="H14" s="6">
        <v>1069</v>
      </c>
      <c r="I14" s="14">
        <f t="shared" si="0"/>
        <v>10260.8264517243</v>
      </c>
      <c r="J14" s="15">
        <f t="shared" si="1"/>
        <v>1552.26093013872</v>
      </c>
      <c r="K14" s="15">
        <f t="shared" si="2"/>
        <v>8708.56552158561</v>
      </c>
      <c r="L14" s="15">
        <f t="shared" si="3"/>
        <v>0.151280302560605</v>
      </c>
      <c r="M14" s="15">
        <f t="shared" si="4"/>
        <v>0.178245306450435</v>
      </c>
      <c r="N14" s="16">
        <f t="shared" si="5"/>
        <v>25.4</v>
      </c>
      <c r="O14" s="16">
        <f t="shared" si="6"/>
        <v>526216.455317025</v>
      </c>
      <c r="P14" s="16">
        <f t="shared" si="7"/>
        <v>290866.088420959</v>
      </c>
      <c r="Q14" s="16">
        <f t="shared" si="8"/>
        <v>10.1497005988024</v>
      </c>
      <c r="R14" s="16">
        <f t="shared" si="9"/>
        <v>1.80913649361369</v>
      </c>
      <c r="S14" s="16">
        <v>8.01399825021872</v>
      </c>
    </row>
    <row r="15" spans="1:19">
      <c r="A15" s="5" t="s">
        <v>33</v>
      </c>
      <c r="B15" s="6">
        <v>178</v>
      </c>
      <c r="C15" s="6">
        <v>9</v>
      </c>
      <c r="D15" s="6">
        <v>360</v>
      </c>
      <c r="E15" s="6">
        <v>283.3141185</v>
      </c>
      <c r="F15" s="6">
        <v>22.163029</v>
      </c>
      <c r="G15" s="5" t="s">
        <v>20</v>
      </c>
      <c r="H15" s="6">
        <v>2922.38170853439</v>
      </c>
      <c r="I15" s="14">
        <f t="shared" si="0"/>
        <v>24884.5554090848</v>
      </c>
      <c r="J15" s="15">
        <f t="shared" si="1"/>
        <v>4778.36242611007</v>
      </c>
      <c r="K15" s="15">
        <f t="shared" si="2"/>
        <v>20106.1929829747</v>
      </c>
      <c r="L15" s="15">
        <f t="shared" si="3"/>
        <v>0.192021209443252</v>
      </c>
      <c r="M15" s="15">
        <f t="shared" si="4"/>
        <v>0.23765625</v>
      </c>
      <c r="N15" s="16">
        <f t="shared" si="5"/>
        <v>19.7777777777778</v>
      </c>
      <c r="O15" s="16">
        <f t="shared" si="6"/>
        <v>1353777.5386269</v>
      </c>
      <c r="P15" s="16">
        <f t="shared" si="7"/>
        <v>445614.138161264</v>
      </c>
      <c r="Q15" s="16">
        <f t="shared" si="8"/>
        <v>12.783185840708</v>
      </c>
      <c r="R15" s="16">
        <f t="shared" si="9"/>
        <v>3.03800400995575</v>
      </c>
      <c r="S15" s="16">
        <v>8.08988764044944</v>
      </c>
    </row>
    <row r="16" spans="1:19">
      <c r="A16" s="5" t="s">
        <v>34</v>
      </c>
      <c r="B16" s="6">
        <v>178</v>
      </c>
      <c r="C16" s="6">
        <v>9</v>
      </c>
      <c r="D16" s="6">
        <v>360</v>
      </c>
      <c r="E16" s="6">
        <v>283.3141185</v>
      </c>
      <c r="F16" s="6">
        <v>22.163029</v>
      </c>
      <c r="G16" s="5" t="s">
        <v>20</v>
      </c>
      <c r="H16" s="6">
        <v>2853.73515833392</v>
      </c>
      <c r="I16" s="14">
        <f t="shared" si="0"/>
        <v>24884.5554090848</v>
      </c>
      <c r="J16" s="15">
        <f t="shared" si="1"/>
        <v>4778.36242611007</v>
      </c>
      <c r="K16" s="15">
        <f t="shared" si="2"/>
        <v>20106.1929829747</v>
      </c>
      <c r="L16" s="15">
        <f t="shared" si="3"/>
        <v>0.192021209443252</v>
      </c>
      <c r="M16" s="15">
        <f t="shared" si="4"/>
        <v>0.23765625</v>
      </c>
      <c r="N16" s="16">
        <f t="shared" si="5"/>
        <v>19.7777777777778</v>
      </c>
      <c r="O16" s="16">
        <f t="shared" si="6"/>
        <v>1353777.5386269</v>
      </c>
      <c r="P16" s="16">
        <f t="shared" si="7"/>
        <v>445614.138161264</v>
      </c>
      <c r="Q16" s="16">
        <f t="shared" si="8"/>
        <v>12.783185840708</v>
      </c>
      <c r="R16" s="16">
        <f t="shared" si="9"/>
        <v>3.03800400995575</v>
      </c>
      <c r="S16" s="16">
        <v>8.08988764044944</v>
      </c>
    </row>
    <row r="17" spans="1:19">
      <c r="A17" s="5" t="s">
        <v>35</v>
      </c>
      <c r="B17" s="6">
        <v>178</v>
      </c>
      <c r="C17" s="6">
        <v>9</v>
      </c>
      <c r="D17" s="6">
        <v>360</v>
      </c>
      <c r="E17" s="6">
        <v>283.3141185</v>
      </c>
      <c r="F17" s="6">
        <v>45.4047895</v>
      </c>
      <c r="G17" s="5" t="s">
        <v>20</v>
      </c>
      <c r="H17" s="6">
        <v>3216.58120939356</v>
      </c>
      <c r="I17" s="14">
        <f t="shared" si="0"/>
        <v>24884.5554090848</v>
      </c>
      <c r="J17" s="15">
        <f t="shared" si="1"/>
        <v>4778.36242611007</v>
      </c>
      <c r="K17" s="15">
        <f t="shared" si="2"/>
        <v>20106.1929829747</v>
      </c>
      <c r="L17" s="15">
        <f t="shared" si="3"/>
        <v>0.192021209443252</v>
      </c>
      <c r="M17" s="15">
        <f t="shared" si="4"/>
        <v>0.23765625</v>
      </c>
      <c r="N17" s="16">
        <f t="shared" si="5"/>
        <v>19.7777777777778</v>
      </c>
      <c r="O17" s="16">
        <f t="shared" si="6"/>
        <v>1353777.5386269</v>
      </c>
      <c r="P17" s="16">
        <f t="shared" si="7"/>
        <v>912917.460038342</v>
      </c>
      <c r="Q17" s="16">
        <f t="shared" si="8"/>
        <v>6.23974082073434</v>
      </c>
      <c r="R17" s="16">
        <f t="shared" si="9"/>
        <v>1.48291340442765</v>
      </c>
      <c r="S17" s="16">
        <v>8.08988764044944</v>
      </c>
    </row>
    <row r="18" spans="1:19">
      <c r="A18" s="5" t="s">
        <v>36</v>
      </c>
      <c r="B18" s="6">
        <v>178</v>
      </c>
      <c r="C18" s="6">
        <v>9</v>
      </c>
      <c r="D18" s="6">
        <v>360</v>
      </c>
      <c r="E18" s="6">
        <v>283.3141185</v>
      </c>
      <c r="F18" s="6">
        <v>45.4047895</v>
      </c>
      <c r="G18" s="5" t="s">
        <v>20</v>
      </c>
      <c r="H18" s="6">
        <v>3177.354609279</v>
      </c>
      <c r="I18" s="14">
        <f t="shared" si="0"/>
        <v>24884.5554090848</v>
      </c>
      <c r="J18" s="15">
        <f t="shared" si="1"/>
        <v>4778.36242611007</v>
      </c>
      <c r="K18" s="15">
        <f t="shared" si="2"/>
        <v>20106.1929829747</v>
      </c>
      <c r="L18" s="15">
        <f t="shared" si="3"/>
        <v>0.192021209443252</v>
      </c>
      <c r="M18" s="15">
        <f t="shared" si="4"/>
        <v>0.23765625</v>
      </c>
      <c r="N18" s="16">
        <f t="shared" si="5"/>
        <v>19.7777777777778</v>
      </c>
      <c r="O18" s="16">
        <f t="shared" si="6"/>
        <v>1353777.5386269</v>
      </c>
      <c r="P18" s="16">
        <f t="shared" si="7"/>
        <v>912917.460038342</v>
      </c>
      <c r="Q18" s="16">
        <f t="shared" si="8"/>
        <v>6.23974082073434</v>
      </c>
      <c r="R18" s="16">
        <f t="shared" si="9"/>
        <v>1.48291340442765</v>
      </c>
      <c r="S18" s="16">
        <v>8.08988764044944</v>
      </c>
    </row>
    <row r="19" spans="1:19">
      <c r="A19" s="5" t="s">
        <v>37</v>
      </c>
      <c r="B19" s="6">
        <v>179</v>
      </c>
      <c r="C19" s="6">
        <v>5.5</v>
      </c>
      <c r="D19" s="6">
        <v>360</v>
      </c>
      <c r="E19" s="6">
        <v>248.500511</v>
      </c>
      <c r="F19" s="6">
        <v>22.163029</v>
      </c>
      <c r="G19" s="5" t="s">
        <v>20</v>
      </c>
      <c r="H19" s="6">
        <v>1814.2302552982</v>
      </c>
      <c r="I19" s="14">
        <f t="shared" si="0"/>
        <v>25164.9425534176</v>
      </c>
      <c r="J19" s="15">
        <f t="shared" si="1"/>
        <v>2997.86478968806</v>
      </c>
      <c r="K19" s="15">
        <f t="shared" si="2"/>
        <v>22167.0777637296</v>
      </c>
      <c r="L19" s="15">
        <f t="shared" si="3"/>
        <v>0.11912861646016</v>
      </c>
      <c r="M19" s="15">
        <f t="shared" si="4"/>
        <v>0.135239512471655</v>
      </c>
      <c r="N19" s="16">
        <f t="shared" si="5"/>
        <v>32.5454545454545</v>
      </c>
      <c r="O19" s="16">
        <f t="shared" si="6"/>
        <v>744970.93214639</v>
      </c>
      <c r="P19" s="16">
        <f t="shared" si="7"/>
        <v>491289.587322794</v>
      </c>
      <c r="Q19" s="16">
        <f t="shared" si="8"/>
        <v>11.212389380531</v>
      </c>
      <c r="R19" s="16">
        <f t="shared" si="9"/>
        <v>1.51635807346537</v>
      </c>
      <c r="S19" s="16">
        <v>8.04469273743017</v>
      </c>
    </row>
    <row r="20" spans="1:19">
      <c r="A20" s="5" t="s">
        <v>38</v>
      </c>
      <c r="B20" s="6">
        <v>179</v>
      </c>
      <c r="C20" s="6">
        <v>5.5</v>
      </c>
      <c r="D20" s="6">
        <v>360</v>
      </c>
      <c r="E20" s="6">
        <v>248.500511</v>
      </c>
      <c r="F20" s="6">
        <v>23.928226</v>
      </c>
      <c r="G20" s="5" t="s">
        <v>20</v>
      </c>
      <c r="H20" s="6">
        <v>1814.2302552982</v>
      </c>
      <c r="I20" s="14">
        <f t="shared" si="0"/>
        <v>25164.9425534176</v>
      </c>
      <c r="J20" s="15">
        <f t="shared" si="1"/>
        <v>2997.86478968806</v>
      </c>
      <c r="K20" s="15">
        <f t="shared" si="2"/>
        <v>22167.0777637296</v>
      </c>
      <c r="L20" s="15">
        <f t="shared" si="3"/>
        <v>0.11912861646016</v>
      </c>
      <c r="M20" s="15">
        <f t="shared" si="4"/>
        <v>0.135239512471655</v>
      </c>
      <c r="N20" s="16">
        <f t="shared" si="5"/>
        <v>32.5454545454545</v>
      </c>
      <c r="O20" s="16">
        <f t="shared" si="6"/>
        <v>744970.93214639</v>
      </c>
      <c r="P20" s="16">
        <f t="shared" si="7"/>
        <v>530418.846490096</v>
      </c>
      <c r="Q20" s="16">
        <f t="shared" si="8"/>
        <v>10.3852459016393</v>
      </c>
      <c r="R20" s="16">
        <f t="shared" si="9"/>
        <v>1.40449559263596</v>
      </c>
      <c r="S20" s="16">
        <v>8.04469273743017</v>
      </c>
    </row>
    <row r="21" spans="1:19">
      <c r="A21" s="5" t="s">
        <v>39</v>
      </c>
      <c r="B21" s="6">
        <v>179</v>
      </c>
      <c r="C21" s="6">
        <v>5.5</v>
      </c>
      <c r="D21" s="6">
        <v>360</v>
      </c>
      <c r="E21" s="6">
        <v>248.500511</v>
      </c>
      <c r="F21" s="6">
        <v>43.6395925</v>
      </c>
      <c r="G21" s="5" t="s">
        <v>20</v>
      </c>
      <c r="H21" s="6">
        <v>2039.78320595689</v>
      </c>
      <c r="I21" s="14">
        <f t="shared" si="0"/>
        <v>25164.9425534176</v>
      </c>
      <c r="J21" s="15">
        <f t="shared" si="1"/>
        <v>2997.86478968806</v>
      </c>
      <c r="K21" s="15">
        <f t="shared" si="2"/>
        <v>22167.0777637296</v>
      </c>
      <c r="L21" s="15">
        <f t="shared" si="3"/>
        <v>0.11912861646016</v>
      </c>
      <c r="M21" s="15">
        <f t="shared" si="4"/>
        <v>0.135239512471655</v>
      </c>
      <c r="N21" s="16">
        <f t="shared" si="5"/>
        <v>32.5454545454545</v>
      </c>
      <c r="O21" s="16">
        <f t="shared" si="6"/>
        <v>744970.93214639</v>
      </c>
      <c r="P21" s="16">
        <f t="shared" si="7"/>
        <v>967362.24052497</v>
      </c>
      <c r="Q21" s="16">
        <f t="shared" si="8"/>
        <v>5.69438202247191</v>
      </c>
      <c r="R21" s="16">
        <f t="shared" si="9"/>
        <v>0.77010544854646</v>
      </c>
      <c r="S21" s="16">
        <v>8.04469273743017</v>
      </c>
    </row>
    <row r="22" spans="1:19">
      <c r="A22" s="5" t="s">
        <v>40</v>
      </c>
      <c r="B22" s="6">
        <v>179</v>
      </c>
      <c r="C22" s="6">
        <v>5.5</v>
      </c>
      <c r="D22" s="6">
        <v>360</v>
      </c>
      <c r="E22" s="6">
        <v>248.500511</v>
      </c>
      <c r="F22" s="6">
        <v>43.6395925</v>
      </c>
      <c r="G22" s="5" t="s">
        <v>20</v>
      </c>
      <c r="H22" s="6">
        <v>2029.97655592825</v>
      </c>
      <c r="I22" s="14">
        <f t="shared" si="0"/>
        <v>25164.9425534176</v>
      </c>
      <c r="J22" s="15">
        <f t="shared" si="1"/>
        <v>2997.86478968806</v>
      </c>
      <c r="K22" s="15">
        <f t="shared" si="2"/>
        <v>22167.0777637296</v>
      </c>
      <c r="L22" s="15">
        <f t="shared" si="3"/>
        <v>0.11912861646016</v>
      </c>
      <c r="M22" s="15">
        <f t="shared" si="4"/>
        <v>0.135239512471655</v>
      </c>
      <c r="N22" s="16">
        <f t="shared" si="5"/>
        <v>32.5454545454545</v>
      </c>
      <c r="O22" s="16">
        <f t="shared" si="6"/>
        <v>744970.93214639</v>
      </c>
      <c r="P22" s="16">
        <f t="shared" si="7"/>
        <v>967362.24052497</v>
      </c>
      <c r="Q22" s="16">
        <f t="shared" si="8"/>
        <v>5.69438202247191</v>
      </c>
      <c r="R22" s="16">
        <f t="shared" si="9"/>
        <v>0.77010544854646</v>
      </c>
      <c r="S22" s="16">
        <v>8.04469273743017</v>
      </c>
    </row>
    <row r="23" spans="1:19">
      <c r="A23" s="5" t="s">
        <v>41</v>
      </c>
      <c r="B23" s="6">
        <v>174</v>
      </c>
      <c r="C23" s="6">
        <v>3</v>
      </c>
      <c r="D23" s="6">
        <v>360</v>
      </c>
      <c r="E23" s="6">
        <v>265.956348</v>
      </c>
      <c r="F23" s="6">
        <v>23.928226</v>
      </c>
      <c r="G23" s="5" t="s">
        <v>20</v>
      </c>
      <c r="H23" s="6">
        <v>1314.09110383761</v>
      </c>
      <c r="I23" s="14">
        <f t="shared" si="0"/>
        <v>23778.7147950211</v>
      </c>
      <c r="J23" s="15">
        <f t="shared" si="1"/>
        <v>1611.63703129156</v>
      </c>
      <c r="K23" s="15">
        <f t="shared" si="2"/>
        <v>22167.0777637296</v>
      </c>
      <c r="L23" s="15">
        <f t="shared" si="3"/>
        <v>0.0677764565992866</v>
      </c>
      <c r="M23" s="15">
        <f t="shared" si="4"/>
        <v>0.0727040816326531</v>
      </c>
      <c r="N23" s="16">
        <f t="shared" si="5"/>
        <v>58</v>
      </c>
      <c r="O23" s="16">
        <f t="shared" si="6"/>
        <v>428625.099143866</v>
      </c>
      <c r="P23" s="16">
        <f t="shared" si="7"/>
        <v>530418.846490096</v>
      </c>
      <c r="Q23" s="16">
        <f t="shared" si="8"/>
        <v>11.1147540983607</v>
      </c>
      <c r="R23" s="16">
        <f t="shared" si="9"/>
        <v>0.808087989294078</v>
      </c>
      <c r="S23" s="16">
        <v>8.27586206896552</v>
      </c>
    </row>
    <row r="24" spans="1:19">
      <c r="A24" s="5" t="s">
        <v>42</v>
      </c>
      <c r="B24" s="6">
        <v>174</v>
      </c>
      <c r="C24" s="6">
        <v>3</v>
      </c>
      <c r="D24" s="6">
        <v>360</v>
      </c>
      <c r="E24" s="6">
        <v>265.956348</v>
      </c>
      <c r="F24" s="6">
        <v>23.928226</v>
      </c>
      <c r="G24" s="5" t="s">
        <v>20</v>
      </c>
      <c r="H24" s="6">
        <v>1304.28445380897</v>
      </c>
      <c r="I24" s="14">
        <f t="shared" si="0"/>
        <v>23778.7147950211</v>
      </c>
      <c r="J24" s="15">
        <f t="shared" si="1"/>
        <v>1611.63703129156</v>
      </c>
      <c r="K24" s="15">
        <f t="shared" si="2"/>
        <v>22167.0777637296</v>
      </c>
      <c r="L24" s="15">
        <f t="shared" si="3"/>
        <v>0.0677764565992866</v>
      </c>
      <c r="M24" s="15">
        <f t="shared" si="4"/>
        <v>0.0727040816326531</v>
      </c>
      <c r="N24" s="16">
        <f t="shared" si="5"/>
        <v>58</v>
      </c>
      <c r="O24" s="16">
        <f t="shared" si="6"/>
        <v>428625.099143866</v>
      </c>
      <c r="P24" s="16">
        <f t="shared" si="7"/>
        <v>530418.846490096</v>
      </c>
      <c r="Q24" s="16">
        <f t="shared" si="8"/>
        <v>11.1147540983607</v>
      </c>
      <c r="R24" s="16">
        <f t="shared" si="9"/>
        <v>0.808087989294078</v>
      </c>
      <c r="S24" s="16">
        <v>8.27586206896552</v>
      </c>
    </row>
    <row r="25" spans="1:19">
      <c r="A25" s="5" t="s">
        <v>43</v>
      </c>
      <c r="B25" s="6">
        <v>174</v>
      </c>
      <c r="C25" s="6">
        <v>3</v>
      </c>
      <c r="D25" s="6">
        <v>360</v>
      </c>
      <c r="E25" s="6">
        <v>265.956348</v>
      </c>
      <c r="F25" s="6">
        <v>45.698989</v>
      </c>
      <c r="G25" s="5" t="s">
        <v>20</v>
      </c>
      <c r="H25" s="6">
        <v>1608.29060469678</v>
      </c>
      <c r="I25" s="14">
        <f t="shared" si="0"/>
        <v>23778.7147950211</v>
      </c>
      <c r="J25" s="15">
        <f t="shared" si="1"/>
        <v>1611.63703129156</v>
      </c>
      <c r="K25" s="15">
        <f t="shared" si="2"/>
        <v>22167.0777637296</v>
      </c>
      <c r="L25" s="15">
        <f t="shared" si="3"/>
        <v>0.0677764565992866</v>
      </c>
      <c r="M25" s="15">
        <f t="shared" si="4"/>
        <v>0.0727040816326531</v>
      </c>
      <c r="N25" s="16">
        <f t="shared" si="5"/>
        <v>58</v>
      </c>
      <c r="O25" s="16">
        <f t="shared" si="6"/>
        <v>428625.099143866</v>
      </c>
      <c r="P25" s="16">
        <f t="shared" si="7"/>
        <v>1013013.04288682</v>
      </c>
      <c r="Q25" s="16">
        <f t="shared" si="8"/>
        <v>5.81974248927039</v>
      </c>
      <c r="R25" s="16">
        <f t="shared" si="9"/>
        <v>0.423119033020934</v>
      </c>
      <c r="S25" s="16">
        <v>8.27586206896552</v>
      </c>
    </row>
    <row r="26" spans="1:19">
      <c r="A26" s="5" t="s">
        <v>44</v>
      </c>
      <c r="B26" s="6">
        <v>174</v>
      </c>
      <c r="C26" s="6">
        <v>3</v>
      </c>
      <c r="D26" s="6">
        <v>360</v>
      </c>
      <c r="E26" s="6">
        <v>265.956348</v>
      </c>
      <c r="F26" s="6">
        <v>45.698989</v>
      </c>
      <c r="G26" s="5" t="s">
        <v>20</v>
      </c>
      <c r="H26" s="6">
        <v>1676.93715489725</v>
      </c>
      <c r="I26" s="14">
        <f t="shared" si="0"/>
        <v>23778.7147950211</v>
      </c>
      <c r="J26" s="15">
        <f t="shared" si="1"/>
        <v>1611.63703129156</v>
      </c>
      <c r="K26" s="15">
        <f t="shared" si="2"/>
        <v>22167.0777637296</v>
      </c>
      <c r="L26" s="15">
        <f t="shared" si="3"/>
        <v>0.0677764565992866</v>
      </c>
      <c r="M26" s="15">
        <f t="shared" si="4"/>
        <v>0.0727040816326531</v>
      </c>
      <c r="N26" s="16">
        <f t="shared" si="5"/>
        <v>58</v>
      </c>
      <c r="O26" s="16">
        <f t="shared" si="6"/>
        <v>428625.099143866</v>
      </c>
      <c r="P26" s="16">
        <f t="shared" si="7"/>
        <v>1013013.04288682</v>
      </c>
      <c r="Q26" s="16">
        <f t="shared" si="8"/>
        <v>5.81974248927039</v>
      </c>
      <c r="R26" s="16">
        <f t="shared" si="9"/>
        <v>0.423119033020934</v>
      </c>
      <c r="S26" s="16">
        <v>8.27586206896552</v>
      </c>
    </row>
    <row r="27" spans="1:19">
      <c r="A27" s="5" t="s">
        <v>45</v>
      </c>
      <c r="B27" s="6">
        <v>159</v>
      </c>
      <c r="C27" s="6">
        <v>5.07</v>
      </c>
      <c r="D27" s="6">
        <v>477</v>
      </c>
      <c r="E27" s="6">
        <v>381.5</v>
      </c>
      <c r="F27" s="6">
        <v>41.5</v>
      </c>
      <c r="G27" s="5" t="s">
        <v>20</v>
      </c>
      <c r="H27" s="6">
        <v>2230</v>
      </c>
      <c r="I27" s="14">
        <f t="shared" si="0"/>
        <v>19855.6509688509</v>
      </c>
      <c r="J27" s="15">
        <f t="shared" si="1"/>
        <v>2451.77776083708</v>
      </c>
      <c r="K27" s="15">
        <f t="shared" si="2"/>
        <v>17403.8732080138</v>
      </c>
      <c r="L27" s="15">
        <f t="shared" si="3"/>
        <v>0.123480099679601</v>
      </c>
      <c r="M27" s="15">
        <f t="shared" si="4"/>
        <v>0.140875409257068</v>
      </c>
      <c r="N27" s="16">
        <f t="shared" si="5"/>
        <v>31.3609467455621</v>
      </c>
      <c r="O27" s="16">
        <f t="shared" si="6"/>
        <v>935353.215759344</v>
      </c>
      <c r="P27" s="16">
        <f t="shared" si="7"/>
        <v>722260.738132573</v>
      </c>
      <c r="Q27" s="16">
        <f t="shared" si="8"/>
        <v>9.19277108433735</v>
      </c>
      <c r="R27" s="16">
        <f t="shared" si="9"/>
        <v>1.29503538871257</v>
      </c>
      <c r="S27" s="16">
        <v>12</v>
      </c>
    </row>
    <row r="28" spans="1:19">
      <c r="A28" s="5" t="s">
        <v>46</v>
      </c>
      <c r="B28" s="6">
        <v>630</v>
      </c>
      <c r="C28" s="6">
        <v>7</v>
      </c>
      <c r="D28" s="6">
        <v>1890</v>
      </c>
      <c r="E28" s="6">
        <v>291.4</v>
      </c>
      <c r="F28" s="6">
        <v>36</v>
      </c>
      <c r="G28" s="5" t="s">
        <v>20</v>
      </c>
      <c r="H28" s="6">
        <v>16650</v>
      </c>
      <c r="I28" s="14">
        <f t="shared" si="0"/>
        <v>311724.531052447</v>
      </c>
      <c r="J28" s="15">
        <f t="shared" si="1"/>
        <v>13700.4855623051</v>
      </c>
      <c r="K28" s="15">
        <f t="shared" si="2"/>
        <v>298024.045490142</v>
      </c>
      <c r="L28" s="15">
        <f t="shared" si="3"/>
        <v>0.0439506172839506</v>
      </c>
      <c r="M28" s="15">
        <f t="shared" si="4"/>
        <v>0.0459710743801653</v>
      </c>
      <c r="N28" s="16">
        <f t="shared" si="5"/>
        <v>90</v>
      </c>
      <c r="O28" s="16">
        <f t="shared" si="6"/>
        <v>3992321.4928557</v>
      </c>
      <c r="P28" s="16">
        <f t="shared" si="7"/>
        <v>10728865.6376451</v>
      </c>
      <c r="Q28" s="16">
        <f t="shared" si="8"/>
        <v>8.09444444444444</v>
      </c>
      <c r="R28" s="16">
        <f t="shared" si="9"/>
        <v>0.372110307621671</v>
      </c>
      <c r="S28" s="16">
        <v>12</v>
      </c>
    </row>
    <row r="29" spans="1:19">
      <c r="A29" s="5" t="s">
        <v>47</v>
      </c>
      <c r="B29" s="6">
        <v>630</v>
      </c>
      <c r="C29" s="6">
        <v>7.61</v>
      </c>
      <c r="D29" s="6">
        <v>1890</v>
      </c>
      <c r="E29" s="6">
        <v>349.5</v>
      </c>
      <c r="F29" s="6">
        <v>35</v>
      </c>
      <c r="G29" s="5" t="s">
        <v>20</v>
      </c>
      <c r="H29" s="6">
        <v>18000</v>
      </c>
      <c r="I29" s="14">
        <f t="shared" si="0"/>
        <v>311724.531052447</v>
      </c>
      <c r="J29" s="15">
        <f t="shared" si="1"/>
        <v>14879.8014311916</v>
      </c>
      <c r="K29" s="15">
        <f t="shared" si="2"/>
        <v>296844.729621256</v>
      </c>
      <c r="L29" s="15">
        <f t="shared" si="3"/>
        <v>0.047733816074578</v>
      </c>
      <c r="M29" s="15">
        <f t="shared" si="4"/>
        <v>0.050126547472063</v>
      </c>
      <c r="N29" s="16">
        <f t="shared" si="5"/>
        <v>82.7858081471748</v>
      </c>
      <c r="O29" s="16">
        <f t="shared" si="6"/>
        <v>5200490.60020146</v>
      </c>
      <c r="P29" s="16">
        <f t="shared" si="7"/>
        <v>10389565.5367439</v>
      </c>
      <c r="Q29" s="16">
        <f t="shared" si="8"/>
        <v>9.98571428571429</v>
      </c>
      <c r="R29" s="16">
        <f t="shared" si="9"/>
        <v>0.500549381185315</v>
      </c>
      <c r="S29" s="16">
        <v>12</v>
      </c>
    </row>
    <row r="30" spans="1:19">
      <c r="A30" s="5" t="s">
        <v>48</v>
      </c>
      <c r="B30" s="6">
        <v>630</v>
      </c>
      <c r="C30" s="6">
        <v>8.44</v>
      </c>
      <c r="D30" s="6">
        <v>1890</v>
      </c>
      <c r="E30" s="6">
        <v>350</v>
      </c>
      <c r="F30" s="6">
        <v>34.5</v>
      </c>
      <c r="G30" s="5" t="s">
        <v>20</v>
      </c>
      <c r="H30" s="6">
        <v>18600</v>
      </c>
      <c r="I30" s="14">
        <f t="shared" si="0"/>
        <v>311724.531052447</v>
      </c>
      <c r="J30" s="15">
        <f t="shared" si="1"/>
        <v>16480.6895032189</v>
      </c>
      <c r="K30" s="15">
        <f t="shared" si="2"/>
        <v>295243.841549228</v>
      </c>
      <c r="L30" s="15">
        <f t="shared" si="3"/>
        <v>0.0528694018644495</v>
      </c>
      <c r="M30" s="15">
        <f t="shared" si="4"/>
        <v>0.0558206037990159</v>
      </c>
      <c r="N30" s="16">
        <f t="shared" si="5"/>
        <v>74.6445497630332</v>
      </c>
      <c r="O30" s="16">
        <f t="shared" si="6"/>
        <v>5768241.32612662</v>
      </c>
      <c r="P30" s="16">
        <f t="shared" si="7"/>
        <v>10185912.5334484</v>
      </c>
      <c r="Q30" s="16">
        <f t="shared" si="8"/>
        <v>10.1449275362319</v>
      </c>
      <c r="R30" s="16">
        <f t="shared" si="9"/>
        <v>0.566295980569727</v>
      </c>
      <c r="S30" s="16">
        <v>12</v>
      </c>
    </row>
    <row r="31" spans="1:19">
      <c r="A31" s="5" t="s">
        <v>49</v>
      </c>
      <c r="B31" s="6">
        <v>630</v>
      </c>
      <c r="C31" s="6">
        <v>10.21</v>
      </c>
      <c r="D31" s="6">
        <v>1890</v>
      </c>
      <c r="E31" s="6">
        <v>323.3</v>
      </c>
      <c r="F31" s="6">
        <v>38.4</v>
      </c>
      <c r="G31" s="5" t="s">
        <v>20</v>
      </c>
      <c r="H31" s="6">
        <v>20500</v>
      </c>
      <c r="I31" s="14">
        <f t="shared" si="0"/>
        <v>311724.531052447</v>
      </c>
      <c r="J31" s="15">
        <f t="shared" si="1"/>
        <v>19880.1739269455</v>
      </c>
      <c r="K31" s="15">
        <f t="shared" si="2"/>
        <v>291844.357125502</v>
      </c>
      <c r="L31" s="15">
        <f t="shared" si="3"/>
        <v>0.0637748138070042</v>
      </c>
      <c r="M31" s="15">
        <f t="shared" si="4"/>
        <v>0.0681190965031969</v>
      </c>
      <c r="N31" s="16">
        <f t="shared" si="5"/>
        <v>61.7042115572968</v>
      </c>
      <c r="O31" s="16">
        <f t="shared" si="6"/>
        <v>6427260.23058149</v>
      </c>
      <c r="P31" s="16">
        <f t="shared" si="7"/>
        <v>11206823.3136193</v>
      </c>
      <c r="Q31" s="16">
        <f t="shared" si="8"/>
        <v>8.41927083333333</v>
      </c>
      <c r="R31" s="16">
        <f t="shared" si="9"/>
        <v>0.573513122382385</v>
      </c>
      <c r="S31" s="16">
        <v>12</v>
      </c>
    </row>
    <row r="32" spans="1:19">
      <c r="A32" s="5" t="s">
        <v>50</v>
      </c>
      <c r="B32" s="6">
        <v>630</v>
      </c>
      <c r="C32" s="6">
        <v>11.6</v>
      </c>
      <c r="D32" s="6">
        <v>1890</v>
      </c>
      <c r="E32" s="6">
        <v>347.2</v>
      </c>
      <c r="F32" s="6">
        <v>46</v>
      </c>
      <c r="G32" s="5" t="s">
        <v>20</v>
      </c>
      <c r="H32" s="6">
        <v>24400</v>
      </c>
      <c r="I32" s="14">
        <f t="shared" si="0"/>
        <v>311724.531052447</v>
      </c>
      <c r="J32" s="15">
        <f t="shared" si="1"/>
        <v>22536.0264049672</v>
      </c>
      <c r="K32" s="15">
        <f t="shared" si="2"/>
        <v>289188.50464748</v>
      </c>
      <c r="L32" s="15">
        <f t="shared" si="3"/>
        <v>0.0722946837994459</v>
      </c>
      <c r="M32" s="15">
        <f t="shared" si="4"/>
        <v>0.0779285000710473</v>
      </c>
      <c r="N32" s="16">
        <f t="shared" si="5"/>
        <v>54.3103448275862</v>
      </c>
      <c r="O32" s="16">
        <f t="shared" si="6"/>
        <v>7824508.36780462</v>
      </c>
      <c r="P32" s="16">
        <f t="shared" si="7"/>
        <v>13302671.2137841</v>
      </c>
      <c r="Q32" s="16">
        <f t="shared" si="8"/>
        <v>7.54782608695652</v>
      </c>
      <c r="R32" s="16">
        <f t="shared" si="9"/>
        <v>0.588190765753644</v>
      </c>
      <c r="S32" s="16">
        <v>12</v>
      </c>
    </row>
    <row r="33" spans="1:19">
      <c r="A33" s="5" t="s">
        <v>51</v>
      </c>
      <c r="B33" s="6">
        <v>720</v>
      </c>
      <c r="C33" s="6">
        <v>8.3</v>
      </c>
      <c r="D33" s="6">
        <v>2160</v>
      </c>
      <c r="E33" s="6">
        <v>312</v>
      </c>
      <c r="F33" s="6">
        <v>15</v>
      </c>
      <c r="G33" s="5" t="s">
        <v>20</v>
      </c>
      <c r="H33" s="6">
        <v>15000</v>
      </c>
      <c r="I33" s="14">
        <f t="shared" si="0"/>
        <v>407150.407905237</v>
      </c>
      <c r="J33" s="15">
        <f t="shared" si="1"/>
        <v>18557.7333799469</v>
      </c>
      <c r="K33" s="15">
        <f t="shared" si="2"/>
        <v>388592.67452529</v>
      </c>
      <c r="L33" s="15">
        <f t="shared" si="3"/>
        <v>0.0455795524691359</v>
      </c>
      <c r="M33" s="15">
        <f t="shared" si="4"/>
        <v>0.0477562614957094</v>
      </c>
      <c r="N33" s="16">
        <f t="shared" si="5"/>
        <v>86.7469879518072</v>
      </c>
      <c r="O33" s="16">
        <f t="shared" si="6"/>
        <v>5790012.81454342</v>
      </c>
      <c r="P33" s="16">
        <f t="shared" si="7"/>
        <v>5828890.11787935</v>
      </c>
      <c r="Q33" s="16">
        <f t="shared" si="8"/>
        <v>20.8</v>
      </c>
      <c r="R33" s="16">
        <f t="shared" si="9"/>
        <v>0.993330239110755</v>
      </c>
      <c r="S33" s="16">
        <v>12</v>
      </c>
    </row>
    <row r="34" spans="1:19">
      <c r="A34" s="5" t="s">
        <v>52</v>
      </c>
      <c r="B34" s="6">
        <v>820</v>
      </c>
      <c r="C34" s="6">
        <v>8.93</v>
      </c>
      <c r="D34" s="6">
        <v>2460</v>
      </c>
      <c r="E34" s="6">
        <v>331</v>
      </c>
      <c r="F34" s="6">
        <v>45</v>
      </c>
      <c r="G34" s="5" t="s">
        <v>20</v>
      </c>
      <c r="H34" s="6">
        <v>33600</v>
      </c>
      <c r="I34" s="14">
        <f t="shared" si="0"/>
        <v>528101.725068444</v>
      </c>
      <c r="J34" s="15">
        <f t="shared" si="1"/>
        <v>22754.1003731754</v>
      </c>
      <c r="K34" s="15">
        <f t="shared" si="2"/>
        <v>505347.624695269</v>
      </c>
      <c r="L34" s="15">
        <f t="shared" si="3"/>
        <v>0.0430865859607377</v>
      </c>
      <c r="M34" s="15">
        <f t="shared" si="4"/>
        <v>0.0450266297123617</v>
      </c>
      <c r="N34" s="16">
        <f t="shared" si="5"/>
        <v>91.8253079507279</v>
      </c>
      <c r="O34" s="16">
        <f t="shared" si="6"/>
        <v>7531607.22352106</v>
      </c>
      <c r="P34" s="16">
        <f t="shared" si="7"/>
        <v>22740643.1112871</v>
      </c>
      <c r="Q34" s="16">
        <f t="shared" si="8"/>
        <v>7.35555555555556</v>
      </c>
      <c r="R34" s="16">
        <f t="shared" si="9"/>
        <v>0.331195876328705</v>
      </c>
      <c r="S34" s="16">
        <v>12</v>
      </c>
    </row>
    <row r="35" spans="1:19">
      <c r="A35" s="8" t="s">
        <v>53</v>
      </c>
      <c r="B35" s="6">
        <v>1020</v>
      </c>
      <c r="C35" s="6">
        <v>9.64</v>
      </c>
      <c r="D35" s="6">
        <v>3060</v>
      </c>
      <c r="E35" s="6">
        <v>336</v>
      </c>
      <c r="F35" s="6">
        <v>16.9</v>
      </c>
      <c r="G35" s="5" t="s">
        <v>20</v>
      </c>
      <c r="H35" s="6">
        <v>30000</v>
      </c>
      <c r="I35" s="14">
        <f t="shared" si="0"/>
        <v>817128.249198705</v>
      </c>
      <c r="J35" s="15">
        <f t="shared" si="1"/>
        <v>30598.7052955566</v>
      </c>
      <c r="K35" s="15">
        <f t="shared" si="2"/>
        <v>786529.543903148</v>
      </c>
      <c r="L35" s="15">
        <f t="shared" si="3"/>
        <v>0.0374466374471357</v>
      </c>
      <c r="M35" s="15">
        <f t="shared" si="4"/>
        <v>0.0389034404781678</v>
      </c>
      <c r="N35" s="16">
        <f t="shared" si="5"/>
        <v>105.809128630705</v>
      </c>
      <c r="O35" s="16">
        <f t="shared" si="6"/>
        <v>10281164.979307</v>
      </c>
      <c r="P35" s="16">
        <f t="shared" si="7"/>
        <v>13292349.2919632</v>
      </c>
      <c r="Q35" s="16">
        <f t="shared" si="8"/>
        <v>19.8816568047337</v>
      </c>
      <c r="R35" s="16">
        <f t="shared" si="9"/>
        <v>0.773464852110319</v>
      </c>
      <c r="S35" s="16">
        <v>12</v>
      </c>
    </row>
    <row r="36" spans="1:19">
      <c r="A36" s="8" t="s">
        <v>54</v>
      </c>
      <c r="B36" s="6">
        <v>1020</v>
      </c>
      <c r="C36" s="6">
        <v>13.25</v>
      </c>
      <c r="D36" s="6">
        <v>3060</v>
      </c>
      <c r="E36" s="6">
        <v>368.7</v>
      </c>
      <c r="F36" s="6">
        <v>28.9</v>
      </c>
      <c r="G36" s="5" t="s">
        <v>20</v>
      </c>
      <c r="H36" s="6">
        <v>46000</v>
      </c>
      <c r="I36" s="14">
        <f t="shared" si="0"/>
        <v>817128.249198705</v>
      </c>
      <c r="J36" s="15">
        <f t="shared" si="1"/>
        <v>41907.0788530202</v>
      </c>
      <c r="K36" s="15">
        <f t="shared" si="2"/>
        <v>775221.170345685</v>
      </c>
      <c r="L36" s="15">
        <f t="shared" si="3"/>
        <v>0.0512858035371011</v>
      </c>
      <c r="M36" s="15">
        <f t="shared" si="4"/>
        <v>0.0540582229382785</v>
      </c>
      <c r="N36" s="16">
        <f t="shared" si="5"/>
        <v>76.9811320754717</v>
      </c>
      <c r="O36" s="16">
        <f t="shared" si="6"/>
        <v>15451139.9731085</v>
      </c>
      <c r="P36" s="16">
        <f t="shared" si="7"/>
        <v>22403891.8229903</v>
      </c>
      <c r="Q36" s="16">
        <f t="shared" si="8"/>
        <v>12.757785467128</v>
      </c>
      <c r="R36" s="16">
        <f t="shared" si="9"/>
        <v>0.689663210980736</v>
      </c>
      <c r="S36" s="16">
        <v>12</v>
      </c>
    </row>
    <row r="37" spans="1:19">
      <c r="A37" s="8" t="s">
        <v>55</v>
      </c>
      <c r="B37" s="6">
        <v>165</v>
      </c>
      <c r="C37" s="6">
        <v>4.5</v>
      </c>
      <c r="D37" s="6">
        <v>660</v>
      </c>
      <c r="E37" s="6">
        <v>254.4</v>
      </c>
      <c r="F37" s="6">
        <v>33.2</v>
      </c>
      <c r="G37" s="5" t="s">
        <v>20</v>
      </c>
      <c r="H37" s="6">
        <v>1647</v>
      </c>
      <c r="I37" s="14">
        <f t="shared" si="0"/>
        <v>21382.4649984955</v>
      </c>
      <c r="J37" s="15">
        <f t="shared" si="1"/>
        <v>2269.01529405523</v>
      </c>
      <c r="K37" s="15">
        <f t="shared" si="2"/>
        <v>19113.4497044403</v>
      </c>
      <c r="L37" s="15">
        <f t="shared" si="3"/>
        <v>0.106115702479339</v>
      </c>
      <c r="M37" s="15">
        <f t="shared" si="4"/>
        <v>0.118713017751479</v>
      </c>
      <c r="N37" s="16">
        <f t="shared" si="5"/>
        <v>36.6666666666667</v>
      </c>
      <c r="O37" s="16">
        <f t="shared" si="6"/>
        <v>577237.49080765</v>
      </c>
      <c r="P37" s="16">
        <f t="shared" si="7"/>
        <v>634566.530187418</v>
      </c>
      <c r="Q37" s="16">
        <f t="shared" si="8"/>
        <v>7.66265060240964</v>
      </c>
      <c r="R37" s="16">
        <f t="shared" si="9"/>
        <v>0.909656376987239</v>
      </c>
      <c r="S37" s="16">
        <v>16</v>
      </c>
    </row>
    <row r="38" spans="1:19">
      <c r="A38" s="8" t="s">
        <v>56</v>
      </c>
      <c r="B38" s="6">
        <v>114</v>
      </c>
      <c r="C38" s="6">
        <v>4.5</v>
      </c>
      <c r="D38" s="6">
        <v>456</v>
      </c>
      <c r="E38" s="6">
        <v>271</v>
      </c>
      <c r="F38" s="6">
        <v>33.2</v>
      </c>
      <c r="G38" s="5" t="s">
        <v>20</v>
      </c>
      <c r="H38" s="6">
        <v>1033</v>
      </c>
      <c r="I38" s="14">
        <f t="shared" si="0"/>
        <v>10207.0345315132</v>
      </c>
      <c r="J38" s="15">
        <f t="shared" si="1"/>
        <v>1548.01978005637</v>
      </c>
      <c r="K38" s="15">
        <f t="shared" si="2"/>
        <v>8659.01475145687</v>
      </c>
      <c r="L38" s="15">
        <f t="shared" si="3"/>
        <v>0.151662049861496</v>
      </c>
      <c r="M38" s="15">
        <f t="shared" si="4"/>
        <v>0.178775510204082</v>
      </c>
      <c r="N38" s="16">
        <f t="shared" si="5"/>
        <v>25.3333333333333</v>
      </c>
      <c r="O38" s="16">
        <f t="shared" si="6"/>
        <v>419513.360395276</v>
      </c>
      <c r="P38" s="16">
        <f t="shared" si="7"/>
        <v>287479.289748368</v>
      </c>
      <c r="Q38" s="16">
        <f t="shared" si="8"/>
        <v>8.16265060240964</v>
      </c>
      <c r="R38" s="16">
        <f t="shared" si="9"/>
        <v>1.45928202606344</v>
      </c>
      <c r="S38" s="16">
        <v>16</v>
      </c>
    </row>
    <row r="39" spans="1:19">
      <c r="A39" s="8" t="s">
        <v>57</v>
      </c>
      <c r="B39" s="6">
        <v>88.5</v>
      </c>
      <c r="C39" s="6">
        <v>4</v>
      </c>
      <c r="D39" s="6">
        <v>354</v>
      </c>
      <c r="E39" s="6">
        <v>232</v>
      </c>
      <c r="F39" s="6">
        <v>33.2</v>
      </c>
      <c r="G39" s="5" t="s">
        <v>20</v>
      </c>
      <c r="H39" s="6">
        <v>602</v>
      </c>
      <c r="I39" s="14">
        <f t="shared" si="0"/>
        <v>6151.43476526966</v>
      </c>
      <c r="J39" s="15">
        <f t="shared" si="1"/>
        <v>1061.85831691335</v>
      </c>
      <c r="K39" s="15">
        <f t="shared" si="2"/>
        <v>5089.57644835631</v>
      </c>
      <c r="L39" s="15">
        <f t="shared" si="3"/>
        <v>0.17261961760669</v>
      </c>
      <c r="M39" s="15">
        <f t="shared" si="4"/>
        <v>0.208633926160256</v>
      </c>
      <c r="N39" s="16">
        <f t="shared" si="5"/>
        <v>22.125</v>
      </c>
      <c r="O39" s="16">
        <f t="shared" si="6"/>
        <v>246351.129523897</v>
      </c>
      <c r="P39" s="16">
        <f t="shared" si="7"/>
        <v>168973.93808543</v>
      </c>
      <c r="Q39" s="16">
        <f t="shared" si="8"/>
        <v>6.98795180722891</v>
      </c>
      <c r="R39" s="16">
        <f t="shared" si="9"/>
        <v>1.45792382136083</v>
      </c>
      <c r="S39" s="16">
        <v>16</v>
      </c>
    </row>
    <row r="40" spans="1:19">
      <c r="A40" s="8" t="s">
        <v>58</v>
      </c>
      <c r="B40" s="6">
        <v>60</v>
      </c>
      <c r="C40" s="6">
        <v>3.5</v>
      </c>
      <c r="D40" s="6">
        <v>240</v>
      </c>
      <c r="E40" s="6">
        <v>223</v>
      </c>
      <c r="F40" s="6">
        <v>33.2</v>
      </c>
      <c r="G40" s="5" t="s">
        <v>20</v>
      </c>
      <c r="H40" s="6">
        <v>334</v>
      </c>
      <c r="I40" s="14">
        <f t="shared" si="0"/>
        <v>2827.43338823081</v>
      </c>
      <c r="J40" s="15">
        <f t="shared" si="1"/>
        <v>621.249947247382</v>
      </c>
      <c r="K40" s="15">
        <f t="shared" si="2"/>
        <v>2206.18344098343</v>
      </c>
      <c r="L40" s="15">
        <f t="shared" si="3"/>
        <v>0.219722222222222</v>
      </c>
      <c r="M40" s="15">
        <f t="shared" si="4"/>
        <v>0.281594873620506</v>
      </c>
      <c r="N40" s="16">
        <f t="shared" si="5"/>
        <v>17.1428571428571</v>
      </c>
      <c r="O40" s="16">
        <f t="shared" si="6"/>
        <v>138538.738236166</v>
      </c>
      <c r="P40" s="16">
        <f t="shared" si="7"/>
        <v>73245.29024065</v>
      </c>
      <c r="Q40" s="16">
        <f t="shared" si="8"/>
        <v>6.71686746987952</v>
      </c>
      <c r="R40" s="16">
        <f t="shared" si="9"/>
        <v>1.89143544630641</v>
      </c>
      <c r="S40" s="16">
        <v>16</v>
      </c>
    </row>
    <row r="41" spans="1:19">
      <c r="A41" s="8" t="s">
        <v>59</v>
      </c>
      <c r="B41" s="6">
        <v>48</v>
      </c>
      <c r="C41" s="6">
        <v>3.5</v>
      </c>
      <c r="D41" s="6">
        <v>192</v>
      </c>
      <c r="E41" s="6">
        <v>304</v>
      </c>
      <c r="F41" s="6">
        <v>33.2</v>
      </c>
      <c r="G41" s="5" t="s">
        <v>20</v>
      </c>
      <c r="H41" s="6">
        <v>273</v>
      </c>
      <c r="I41" s="14">
        <f t="shared" si="0"/>
        <v>1809.55736846772</v>
      </c>
      <c r="J41" s="15">
        <f t="shared" si="1"/>
        <v>489.30305579661</v>
      </c>
      <c r="K41" s="15">
        <f t="shared" si="2"/>
        <v>1320.25431267111</v>
      </c>
      <c r="L41" s="15">
        <f t="shared" si="3"/>
        <v>0.270399305555556</v>
      </c>
      <c r="M41" s="15">
        <f t="shared" si="4"/>
        <v>0.370612730517549</v>
      </c>
      <c r="N41" s="16">
        <f t="shared" si="5"/>
        <v>13.7142857142857</v>
      </c>
      <c r="O41" s="16">
        <f t="shared" si="6"/>
        <v>148748.12896217</v>
      </c>
      <c r="P41" s="16">
        <f t="shared" si="7"/>
        <v>43832.4431806809</v>
      </c>
      <c r="Q41" s="16">
        <f t="shared" si="8"/>
        <v>9.15662650602409</v>
      </c>
      <c r="R41" s="16">
        <f t="shared" si="9"/>
        <v>3.39356235172696</v>
      </c>
      <c r="S41" s="16">
        <v>16</v>
      </c>
    </row>
    <row r="42" spans="1:19">
      <c r="A42" s="8" t="s">
        <v>60</v>
      </c>
      <c r="B42" s="6">
        <v>131.76</v>
      </c>
      <c r="C42" s="6">
        <v>2.38</v>
      </c>
      <c r="D42" s="6">
        <v>264</v>
      </c>
      <c r="E42" s="6">
        <v>235</v>
      </c>
      <c r="F42" s="6">
        <v>17.4</v>
      </c>
      <c r="G42" s="5" t="s">
        <v>20</v>
      </c>
      <c r="H42" s="6">
        <v>535</v>
      </c>
      <c r="I42" s="14">
        <f t="shared" si="0"/>
        <v>13635.0600103385</v>
      </c>
      <c r="J42" s="15">
        <f t="shared" si="1"/>
        <v>967.373032901045</v>
      </c>
      <c r="K42" s="15">
        <f t="shared" si="2"/>
        <v>12667.6869774374</v>
      </c>
      <c r="L42" s="15">
        <f t="shared" si="3"/>
        <v>0.070947471603906</v>
      </c>
      <c r="M42" s="15">
        <f t="shared" si="4"/>
        <v>0.0763654039308078</v>
      </c>
      <c r="N42" s="16">
        <f t="shared" si="5"/>
        <v>55.3613445378151</v>
      </c>
      <c r="O42" s="16">
        <f t="shared" si="6"/>
        <v>227332.662731745</v>
      </c>
      <c r="P42" s="16">
        <f t="shared" si="7"/>
        <v>220417.753407411</v>
      </c>
      <c r="Q42" s="16">
        <f t="shared" si="8"/>
        <v>13.5057471264368</v>
      </c>
      <c r="R42" s="16">
        <f t="shared" si="9"/>
        <v>1.03137183469769</v>
      </c>
      <c r="S42" s="16">
        <v>8.01457194899818</v>
      </c>
    </row>
    <row r="43" spans="1:19">
      <c r="A43" s="8" t="s">
        <v>61</v>
      </c>
      <c r="B43" s="6">
        <v>134.3</v>
      </c>
      <c r="C43" s="6">
        <v>3.12</v>
      </c>
      <c r="D43" s="6">
        <v>264</v>
      </c>
      <c r="E43" s="6">
        <v>235</v>
      </c>
      <c r="F43" s="6">
        <v>26.6</v>
      </c>
      <c r="G43" s="5" t="s">
        <v>20</v>
      </c>
      <c r="H43" s="6">
        <v>681</v>
      </c>
      <c r="I43" s="14">
        <f t="shared" si="0"/>
        <v>14165.8261201364</v>
      </c>
      <c r="J43" s="15">
        <f t="shared" si="1"/>
        <v>1285.79606780948</v>
      </c>
      <c r="K43" s="15">
        <f t="shared" si="2"/>
        <v>12880.030052327</v>
      </c>
      <c r="L43" s="15">
        <f t="shared" si="3"/>
        <v>0.0907674608529709</v>
      </c>
      <c r="M43" s="15">
        <f t="shared" si="4"/>
        <v>0.0998286543265619</v>
      </c>
      <c r="N43" s="16">
        <f t="shared" si="5"/>
        <v>43.0448717948718</v>
      </c>
      <c r="O43" s="16">
        <f t="shared" si="6"/>
        <v>302162.075935227</v>
      </c>
      <c r="P43" s="16">
        <f t="shared" si="7"/>
        <v>342608.799391897</v>
      </c>
      <c r="Q43" s="16">
        <f t="shared" si="8"/>
        <v>8.83458646616541</v>
      </c>
      <c r="R43" s="16">
        <f t="shared" si="9"/>
        <v>0.881944878448949</v>
      </c>
      <c r="S43" s="16">
        <v>7.86299329858526</v>
      </c>
    </row>
    <row r="44" spans="1:19">
      <c r="A44" s="8" t="s">
        <v>62</v>
      </c>
      <c r="B44" s="6">
        <v>130.6</v>
      </c>
      <c r="C44" s="6">
        <v>4.3</v>
      </c>
      <c r="D44" s="6">
        <v>264</v>
      </c>
      <c r="E44" s="6">
        <v>235</v>
      </c>
      <c r="F44" s="6">
        <v>26.6</v>
      </c>
      <c r="G44" s="5" t="s">
        <v>20</v>
      </c>
      <c r="H44" s="6">
        <v>725</v>
      </c>
      <c r="I44" s="14">
        <f t="shared" si="0"/>
        <v>13396.0338182457</v>
      </c>
      <c r="J44" s="15">
        <f t="shared" si="1"/>
        <v>1706.16755423808</v>
      </c>
      <c r="K44" s="15">
        <f t="shared" si="2"/>
        <v>11689.8662640076</v>
      </c>
      <c r="L44" s="15">
        <f t="shared" si="3"/>
        <v>0.127363634444864</v>
      </c>
      <c r="M44" s="15">
        <f t="shared" si="4"/>
        <v>0.145952700886858</v>
      </c>
      <c r="N44" s="16">
        <f t="shared" si="5"/>
        <v>30.3720930232558</v>
      </c>
      <c r="O44" s="16">
        <f t="shared" si="6"/>
        <v>400949.375245948</v>
      </c>
      <c r="P44" s="16">
        <f t="shared" si="7"/>
        <v>310950.442622603</v>
      </c>
      <c r="Q44" s="16">
        <f t="shared" si="8"/>
        <v>8.83458646616541</v>
      </c>
      <c r="R44" s="16">
        <f t="shared" si="9"/>
        <v>1.28943175595533</v>
      </c>
      <c r="S44" s="16">
        <v>8.08575803981623</v>
      </c>
    </row>
    <row r="45" spans="1:19">
      <c r="A45" s="5" t="s">
        <v>63</v>
      </c>
      <c r="B45" s="6">
        <v>132.45</v>
      </c>
      <c r="C45" s="6">
        <v>5.25</v>
      </c>
      <c r="D45" s="6">
        <v>264</v>
      </c>
      <c r="E45" s="6">
        <v>235</v>
      </c>
      <c r="F45" s="6">
        <v>26.6</v>
      </c>
      <c r="G45" s="5" t="s">
        <v>20</v>
      </c>
      <c r="H45" s="6">
        <v>872</v>
      </c>
      <c r="I45" s="14">
        <f t="shared" si="0"/>
        <v>13778.2419439768</v>
      </c>
      <c r="J45" s="15">
        <f t="shared" si="1"/>
        <v>2097.95557406726</v>
      </c>
      <c r="K45" s="15">
        <f t="shared" si="2"/>
        <v>11680.2863699096</v>
      </c>
      <c r="L45" s="15">
        <f t="shared" si="3"/>
        <v>0.152265839328245</v>
      </c>
      <c r="M45" s="15">
        <f t="shared" si="4"/>
        <v>0.179615080283644</v>
      </c>
      <c r="N45" s="16">
        <f t="shared" si="5"/>
        <v>25.2285714285714</v>
      </c>
      <c r="O45" s="16">
        <f t="shared" si="6"/>
        <v>493019.559905807</v>
      </c>
      <c r="P45" s="16">
        <f t="shared" si="7"/>
        <v>310695.617439595</v>
      </c>
      <c r="Q45" s="16">
        <f t="shared" si="8"/>
        <v>8.83458646616541</v>
      </c>
      <c r="R45" s="16">
        <f t="shared" si="9"/>
        <v>1.5868249573931</v>
      </c>
      <c r="S45" s="16">
        <v>7.97281993204983</v>
      </c>
    </row>
    <row r="46" spans="1:19">
      <c r="A46" s="5" t="s">
        <v>64</v>
      </c>
      <c r="B46" s="6">
        <v>134.1</v>
      </c>
      <c r="C46" s="6">
        <v>6.2</v>
      </c>
      <c r="D46" s="6">
        <v>264</v>
      </c>
      <c r="E46" s="6">
        <v>235</v>
      </c>
      <c r="F46" s="6">
        <v>26.6</v>
      </c>
      <c r="G46" s="5" t="s">
        <v>20</v>
      </c>
      <c r="H46" s="6">
        <v>1006</v>
      </c>
      <c r="I46" s="14">
        <f t="shared" si="0"/>
        <v>14123.6659467253</v>
      </c>
      <c r="J46" s="15">
        <f t="shared" si="1"/>
        <v>2491.22014244363</v>
      </c>
      <c r="K46" s="15">
        <f t="shared" si="2"/>
        <v>11632.4458042816</v>
      </c>
      <c r="L46" s="15">
        <f t="shared" si="3"/>
        <v>0.176386226624204</v>
      </c>
      <c r="M46" s="15">
        <f t="shared" si="4"/>
        <v>0.214161336692123</v>
      </c>
      <c r="N46" s="16">
        <f t="shared" si="5"/>
        <v>21.6290322580645</v>
      </c>
      <c r="O46" s="16">
        <f t="shared" si="6"/>
        <v>585436.733474254</v>
      </c>
      <c r="P46" s="16">
        <f t="shared" si="7"/>
        <v>309423.058393891</v>
      </c>
      <c r="Q46" s="16">
        <f t="shared" si="8"/>
        <v>8.83458646616541</v>
      </c>
      <c r="R46" s="16">
        <f t="shared" si="9"/>
        <v>1.89202684671613</v>
      </c>
      <c r="S46" s="16">
        <v>7.87472035794184</v>
      </c>
    </row>
    <row r="47" spans="1:19">
      <c r="A47" s="5" t="s">
        <v>65</v>
      </c>
      <c r="B47" s="6">
        <v>101.8</v>
      </c>
      <c r="C47" s="6">
        <v>2.94</v>
      </c>
      <c r="D47" s="6">
        <v>200</v>
      </c>
      <c r="E47" s="6">
        <v>320</v>
      </c>
      <c r="F47" s="6">
        <v>18</v>
      </c>
      <c r="G47" s="5" t="s">
        <v>20</v>
      </c>
      <c r="H47" s="6">
        <v>628</v>
      </c>
      <c r="I47" s="14">
        <f t="shared" si="0"/>
        <v>8139.26966284697</v>
      </c>
      <c r="J47" s="15">
        <f t="shared" si="1"/>
        <v>913.098878217628</v>
      </c>
      <c r="K47" s="15">
        <f t="shared" si="2"/>
        <v>7226.17078462934</v>
      </c>
      <c r="L47" s="15">
        <f t="shared" si="3"/>
        <v>0.112184374770825</v>
      </c>
      <c r="M47" s="15">
        <f t="shared" si="4"/>
        <v>0.126359991402343</v>
      </c>
      <c r="N47" s="16">
        <f t="shared" si="5"/>
        <v>34.6258503401361</v>
      </c>
      <c r="O47" s="16">
        <f t="shared" si="6"/>
        <v>292191.641029641</v>
      </c>
      <c r="P47" s="16">
        <f t="shared" si="7"/>
        <v>130071.074123328</v>
      </c>
      <c r="Q47" s="16">
        <f t="shared" si="8"/>
        <v>17.7777777777778</v>
      </c>
      <c r="R47" s="16">
        <f t="shared" si="9"/>
        <v>2.24639984715277</v>
      </c>
      <c r="S47" s="16">
        <v>7.85854616895874</v>
      </c>
    </row>
    <row r="48" spans="1:19">
      <c r="A48" s="5" t="s">
        <v>66</v>
      </c>
      <c r="B48" s="6">
        <v>101.8</v>
      </c>
      <c r="C48" s="6">
        <v>2.94</v>
      </c>
      <c r="D48" s="6">
        <v>200</v>
      </c>
      <c r="E48" s="6">
        <v>320</v>
      </c>
      <c r="F48" s="6">
        <v>37.4</v>
      </c>
      <c r="G48" s="5" t="s">
        <v>20</v>
      </c>
      <c r="H48" s="6">
        <v>660</v>
      </c>
      <c r="I48" s="14">
        <f t="shared" si="0"/>
        <v>8139.26966284697</v>
      </c>
      <c r="J48" s="15">
        <f t="shared" si="1"/>
        <v>913.098878217628</v>
      </c>
      <c r="K48" s="15">
        <f t="shared" si="2"/>
        <v>7226.17078462934</v>
      </c>
      <c r="L48" s="15">
        <f t="shared" si="3"/>
        <v>0.112184374770825</v>
      </c>
      <c r="M48" s="15">
        <f t="shared" si="4"/>
        <v>0.126359991402343</v>
      </c>
      <c r="N48" s="16">
        <f t="shared" si="5"/>
        <v>34.6258503401361</v>
      </c>
      <c r="O48" s="16">
        <f t="shared" si="6"/>
        <v>292191.641029641</v>
      </c>
      <c r="P48" s="16">
        <f t="shared" si="7"/>
        <v>270258.787345137</v>
      </c>
      <c r="Q48" s="16">
        <f t="shared" si="8"/>
        <v>8.55614973262032</v>
      </c>
      <c r="R48" s="16">
        <f t="shared" si="9"/>
        <v>1.08115500665107</v>
      </c>
      <c r="S48" s="16">
        <v>7.85854616895874</v>
      </c>
    </row>
    <row r="49" spans="1:19">
      <c r="A49" s="5" t="s">
        <v>67</v>
      </c>
      <c r="B49" s="6">
        <v>101.8</v>
      </c>
      <c r="C49" s="6">
        <v>5.7</v>
      </c>
      <c r="D49" s="6">
        <v>200</v>
      </c>
      <c r="E49" s="6">
        <v>305</v>
      </c>
      <c r="F49" s="6">
        <v>18</v>
      </c>
      <c r="G49" s="5" t="s">
        <v>20</v>
      </c>
      <c r="H49" s="6">
        <v>954</v>
      </c>
      <c r="I49" s="14">
        <f t="shared" si="0"/>
        <v>8139.26966284697</v>
      </c>
      <c r="J49" s="15">
        <f t="shared" si="1"/>
        <v>1720.87020785688</v>
      </c>
      <c r="K49" s="15">
        <f t="shared" si="2"/>
        <v>6418.39945499009</v>
      </c>
      <c r="L49" s="15">
        <f t="shared" si="3"/>
        <v>0.211428086196981</v>
      </c>
      <c r="M49" s="15">
        <f t="shared" si="4"/>
        <v>0.26811516171979</v>
      </c>
      <c r="N49" s="16">
        <f t="shared" si="5"/>
        <v>17.859649122807</v>
      </c>
      <c r="O49" s="16">
        <f t="shared" si="6"/>
        <v>524865.413396349</v>
      </c>
      <c r="P49" s="16">
        <f t="shared" si="7"/>
        <v>115531.190189822</v>
      </c>
      <c r="Q49" s="16">
        <f t="shared" si="8"/>
        <v>16.9444444444444</v>
      </c>
      <c r="R49" s="16">
        <f t="shared" si="9"/>
        <v>4.54306246247423</v>
      </c>
      <c r="S49" s="16">
        <v>7.85854616895874</v>
      </c>
    </row>
    <row r="50" spans="1:19">
      <c r="A50" s="5" t="s">
        <v>68</v>
      </c>
      <c r="B50" s="6">
        <v>101.8</v>
      </c>
      <c r="C50" s="6">
        <v>5.7</v>
      </c>
      <c r="D50" s="6">
        <v>200</v>
      </c>
      <c r="E50" s="6">
        <v>305</v>
      </c>
      <c r="F50" s="6">
        <v>37.4</v>
      </c>
      <c r="G50" s="5" t="s">
        <v>20</v>
      </c>
      <c r="H50" s="6">
        <v>971</v>
      </c>
      <c r="I50" s="14">
        <f t="shared" si="0"/>
        <v>8139.26966284697</v>
      </c>
      <c r="J50" s="15">
        <f t="shared" si="1"/>
        <v>1720.87020785688</v>
      </c>
      <c r="K50" s="15">
        <f t="shared" si="2"/>
        <v>6418.39945499009</v>
      </c>
      <c r="L50" s="15">
        <f t="shared" si="3"/>
        <v>0.211428086196981</v>
      </c>
      <c r="M50" s="15">
        <f t="shared" si="4"/>
        <v>0.26811516171979</v>
      </c>
      <c r="N50" s="16">
        <f t="shared" si="5"/>
        <v>17.859649122807</v>
      </c>
      <c r="O50" s="16">
        <f t="shared" si="6"/>
        <v>524865.413396349</v>
      </c>
      <c r="P50" s="16">
        <f t="shared" si="7"/>
        <v>240048.139616629</v>
      </c>
      <c r="Q50" s="16">
        <f t="shared" si="8"/>
        <v>8.15508021390374</v>
      </c>
      <c r="R50" s="16">
        <f t="shared" si="9"/>
        <v>2.18650065038867</v>
      </c>
      <c r="S50" s="16">
        <v>7.85854616895874</v>
      </c>
    </row>
    <row r="51" spans="1:19">
      <c r="A51" s="5" t="s">
        <v>69</v>
      </c>
      <c r="B51" s="6">
        <v>100</v>
      </c>
      <c r="C51" s="6">
        <v>0.52</v>
      </c>
      <c r="D51" s="6">
        <v>200</v>
      </c>
      <c r="E51" s="6">
        <v>244</v>
      </c>
      <c r="F51" s="6">
        <v>18</v>
      </c>
      <c r="G51" s="5" t="s">
        <v>20</v>
      </c>
      <c r="H51" s="6">
        <v>239</v>
      </c>
      <c r="I51" s="14">
        <f t="shared" si="0"/>
        <v>7853.98163397448</v>
      </c>
      <c r="J51" s="15">
        <f t="shared" si="1"/>
        <v>162.513331333139</v>
      </c>
      <c r="K51" s="15">
        <f t="shared" si="2"/>
        <v>7691.46830264134</v>
      </c>
      <c r="L51" s="15">
        <f t="shared" si="3"/>
        <v>0.02069184</v>
      </c>
      <c r="M51" s="15">
        <f t="shared" si="4"/>
        <v>0.0211290386878835</v>
      </c>
      <c r="N51" s="16">
        <f t="shared" si="5"/>
        <v>192.307692307692</v>
      </c>
      <c r="O51" s="16">
        <f t="shared" si="6"/>
        <v>39653.2528452859</v>
      </c>
      <c r="P51" s="16">
        <f t="shared" si="7"/>
        <v>138446.429447544</v>
      </c>
      <c r="Q51" s="16">
        <f t="shared" si="8"/>
        <v>13.5555555555556</v>
      </c>
      <c r="R51" s="16">
        <f t="shared" si="9"/>
        <v>0.286415857769088</v>
      </c>
      <c r="S51" s="16">
        <v>8</v>
      </c>
    </row>
    <row r="52" spans="1:19">
      <c r="A52" s="5" t="s">
        <v>70</v>
      </c>
      <c r="B52" s="6">
        <v>100</v>
      </c>
      <c r="C52" s="6">
        <v>0.52</v>
      </c>
      <c r="D52" s="6">
        <v>200</v>
      </c>
      <c r="E52" s="6">
        <v>244</v>
      </c>
      <c r="F52" s="6">
        <v>37.4</v>
      </c>
      <c r="G52" s="5" t="s">
        <v>20</v>
      </c>
      <c r="H52" s="6">
        <v>396</v>
      </c>
      <c r="I52" s="14">
        <f t="shared" si="0"/>
        <v>7853.98163397448</v>
      </c>
      <c r="J52" s="15">
        <f t="shared" si="1"/>
        <v>162.513331333139</v>
      </c>
      <c r="K52" s="15">
        <f t="shared" si="2"/>
        <v>7691.46830264134</v>
      </c>
      <c r="L52" s="15">
        <f t="shared" si="3"/>
        <v>0.02069184</v>
      </c>
      <c r="M52" s="15">
        <f t="shared" si="4"/>
        <v>0.0211290386878835</v>
      </c>
      <c r="N52" s="16">
        <f t="shared" si="5"/>
        <v>192.307692307692</v>
      </c>
      <c r="O52" s="16">
        <f t="shared" si="6"/>
        <v>39653.2528452859</v>
      </c>
      <c r="P52" s="16">
        <f t="shared" si="7"/>
        <v>287660.914518786</v>
      </c>
      <c r="Q52" s="16">
        <f t="shared" si="8"/>
        <v>6.52406417112299</v>
      </c>
      <c r="R52" s="16">
        <f t="shared" si="9"/>
        <v>0.137847204273893</v>
      </c>
      <c r="S52" s="16">
        <v>8</v>
      </c>
    </row>
    <row r="53" spans="1:19">
      <c r="A53" s="5" t="s">
        <v>71</v>
      </c>
      <c r="B53" s="6">
        <v>86.49</v>
      </c>
      <c r="C53" s="6">
        <v>2.735</v>
      </c>
      <c r="D53" s="6">
        <v>270</v>
      </c>
      <c r="E53" s="6">
        <v>226.7</v>
      </c>
      <c r="F53" s="6">
        <v>30.2</v>
      </c>
      <c r="G53" s="5" t="s">
        <v>20</v>
      </c>
      <c r="H53" s="6">
        <v>412</v>
      </c>
      <c r="I53" s="14">
        <f t="shared" si="0"/>
        <v>5875.18674779769</v>
      </c>
      <c r="J53" s="15">
        <f t="shared" si="1"/>
        <v>719.644393538364</v>
      </c>
      <c r="K53" s="15">
        <f t="shared" si="2"/>
        <v>5155.54235425933</v>
      </c>
      <c r="L53" s="15">
        <f t="shared" si="3"/>
        <v>0.122488769196676</v>
      </c>
      <c r="M53" s="15">
        <f t="shared" si="4"/>
        <v>0.139586554447335</v>
      </c>
      <c r="N53" s="16">
        <f t="shared" si="5"/>
        <v>31.6234003656307</v>
      </c>
      <c r="O53" s="16">
        <f t="shared" si="6"/>
        <v>163143.384015147</v>
      </c>
      <c r="P53" s="16">
        <f t="shared" si="7"/>
        <v>155697.379098632</v>
      </c>
      <c r="Q53" s="16">
        <f t="shared" si="8"/>
        <v>7.50662251655629</v>
      </c>
      <c r="R53" s="16">
        <f t="shared" si="9"/>
        <v>1.04782357262288</v>
      </c>
      <c r="S53" s="16">
        <v>12.4869927159209</v>
      </c>
    </row>
    <row r="54" spans="1:19">
      <c r="A54" s="5" t="s">
        <v>72</v>
      </c>
      <c r="B54" s="6">
        <v>89.27</v>
      </c>
      <c r="C54" s="6">
        <v>4</v>
      </c>
      <c r="D54" s="6">
        <v>270</v>
      </c>
      <c r="E54" s="6">
        <v>226.7</v>
      </c>
      <c r="F54" s="6">
        <v>30.2</v>
      </c>
      <c r="G54" s="5" t="s">
        <v>20</v>
      </c>
      <c r="H54" s="6">
        <v>491</v>
      </c>
      <c r="I54" s="14">
        <f t="shared" si="0"/>
        <v>6258.94234353018</v>
      </c>
      <c r="J54" s="15">
        <f t="shared" si="1"/>
        <v>1071.53442228641</v>
      </c>
      <c r="K54" s="15">
        <f t="shared" si="2"/>
        <v>5187.40792124377</v>
      </c>
      <c r="L54" s="15">
        <f t="shared" si="3"/>
        <v>0.17120055809334</v>
      </c>
      <c r="M54" s="15">
        <f t="shared" si="4"/>
        <v>0.206564519034294</v>
      </c>
      <c r="N54" s="16">
        <f t="shared" si="5"/>
        <v>22.3175</v>
      </c>
      <c r="O54" s="16">
        <f t="shared" si="6"/>
        <v>242916.853532328</v>
      </c>
      <c r="P54" s="16">
        <f t="shared" si="7"/>
        <v>156659.719221562</v>
      </c>
      <c r="Q54" s="16">
        <f t="shared" si="8"/>
        <v>7.50662251655629</v>
      </c>
      <c r="R54" s="16">
        <f t="shared" si="9"/>
        <v>1.55060186970445</v>
      </c>
      <c r="S54" s="16">
        <v>12.0981292707517</v>
      </c>
    </row>
    <row r="55" spans="1:19">
      <c r="A55" s="8" t="s">
        <v>73</v>
      </c>
      <c r="B55" s="7">
        <v>86.54</v>
      </c>
      <c r="C55" s="7">
        <v>2.795</v>
      </c>
      <c r="D55" s="7">
        <v>270</v>
      </c>
      <c r="E55" s="7">
        <v>226.7</v>
      </c>
      <c r="F55" s="7">
        <v>48</v>
      </c>
      <c r="G55" s="9" t="s">
        <v>20</v>
      </c>
      <c r="H55" s="7">
        <v>489</v>
      </c>
      <c r="I55" s="14">
        <f t="shared" si="0"/>
        <v>5881.98162000833</v>
      </c>
      <c r="J55" s="15">
        <f t="shared" si="1"/>
        <v>735.344031585783</v>
      </c>
      <c r="K55" s="15">
        <f t="shared" si="2"/>
        <v>5146.63758842255</v>
      </c>
      <c r="L55" s="15">
        <f t="shared" si="3"/>
        <v>0.125016376978196</v>
      </c>
      <c r="M55" s="15">
        <f t="shared" si="4"/>
        <v>0.142878533596372</v>
      </c>
      <c r="N55" s="16">
        <f t="shared" si="5"/>
        <v>30.9624329159213</v>
      </c>
      <c r="O55" s="16">
        <f t="shared" si="6"/>
        <v>166702.491960497</v>
      </c>
      <c r="P55" s="16">
        <f t="shared" si="7"/>
        <v>247038.604244282</v>
      </c>
      <c r="Q55" s="16">
        <f t="shared" si="8"/>
        <v>4.72291666666667</v>
      </c>
      <c r="R55" s="16">
        <f t="shared" si="9"/>
        <v>0.674803407631199</v>
      </c>
      <c r="S55" s="16">
        <v>12.4797781372776</v>
      </c>
    </row>
    <row r="56" spans="1:19">
      <c r="A56" s="8" t="s">
        <v>74</v>
      </c>
      <c r="B56" s="7">
        <v>89.19</v>
      </c>
      <c r="C56" s="7">
        <v>4.05</v>
      </c>
      <c r="D56" s="7">
        <v>270</v>
      </c>
      <c r="E56" s="7">
        <v>226.7</v>
      </c>
      <c r="F56" s="7">
        <v>48</v>
      </c>
      <c r="G56" s="9" t="s">
        <v>20</v>
      </c>
      <c r="H56" s="7">
        <v>605</v>
      </c>
      <c r="I56" s="14">
        <f t="shared" si="0"/>
        <v>6247.72937103099</v>
      </c>
      <c r="J56" s="15">
        <f t="shared" si="1"/>
        <v>1083.27455403287</v>
      </c>
      <c r="K56" s="15">
        <f t="shared" si="2"/>
        <v>5164.45481699812</v>
      </c>
      <c r="L56" s="15">
        <f t="shared" si="3"/>
        <v>0.173386920223485</v>
      </c>
      <c r="M56" s="15">
        <f t="shared" si="4"/>
        <v>0.209755839177335</v>
      </c>
      <c r="N56" s="16">
        <f t="shared" si="5"/>
        <v>22.0222222222222</v>
      </c>
      <c r="O56" s="16">
        <f t="shared" si="6"/>
        <v>245578.341399252</v>
      </c>
      <c r="P56" s="16">
        <f t="shared" si="7"/>
        <v>247893.83121591</v>
      </c>
      <c r="Q56" s="16">
        <f t="shared" si="8"/>
        <v>4.72291666666667</v>
      </c>
      <c r="R56" s="16">
        <f t="shared" si="9"/>
        <v>0.990659348781289</v>
      </c>
      <c r="S56" s="16">
        <v>12.108980827447</v>
      </c>
    </row>
    <row r="57" spans="1:19">
      <c r="A57" s="8" t="s">
        <v>75</v>
      </c>
      <c r="B57" s="7">
        <v>165.2</v>
      </c>
      <c r="C57" s="7">
        <v>4.17</v>
      </c>
      <c r="D57" s="7">
        <v>660.8</v>
      </c>
      <c r="E57" s="7">
        <v>358.7</v>
      </c>
      <c r="F57" s="7">
        <v>40.9</v>
      </c>
      <c r="G57" s="9" t="s">
        <v>20</v>
      </c>
      <c r="H57" s="7">
        <v>1594</v>
      </c>
      <c r="I57" s="14">
        <f t="shared" si="0"/>
        <v>21434.3326932063</v>
      </c>
      <c r="J57" s="15">
        <f t="shared" si="1"/>
        <v>2109.56407308154</v>
      </c>
      <c r="K57" s="15">
        <f t="shared" si="2"/>
        <v>19324.7686201248</v>
      </c>
      <c r="L57" s="15">
        <f t="shared" si="3"/>
        <v>0.0984198623430987</v>
      </c>
      <c r="M57" s="15">
        <f t="shared" si="4"/>
        <v>0.10916374289132</v>
      </c>
      <c r="N57" s="16">
        <f t="shared" si="5"/>
        <v>39.6163069544364</v>
      </c>
      <c r="O57" s="16">
        <f t="shared" si="6"/>
        <v>756700.63301435</v>
      </c>
      <c r="P57" s="16">
        <f t="shared" si="7"/>
        <v>790383.036563102</v>
      </c>
      <c r="Q57" s="16">
        <f t="shared" si="8"/>
        <v>8.77017114914425</v>
      </c>
      <c r="R57" s="16">
        <f t="shared" si="9"/>
        <v>0.957384708438054</v>
      </c>
      <c r="S57" s="16">
        <v>16</v>
      </c>
    </row>
    <row r="58" spans="1:19">
      <c r="A58" s="8" t="s">
        <v>76</v>
      </c>
      <c r="B58" s="7">
        <v>76</v>
      </c>
      <c r="C58" s="7">
        <v>2.2</v>
      </c>
      <c r="D58" s="7">
        <v>266</v>
      </c>
      <c r="E58" s="7">
        <v>390</v>
      </c>
      <c r="F58" s="7">
        <v>57</v>
      </c>
      <c r="G58" s="9" t="s">
        <v>20</v>
      </c>
      <c r="H58" s="7">
        <v>470</v>
      </c>
      <c r="I58" s="14">
        <f t="shared" si="0"/>
        <v>4536.45979178366</v>
      </c>
      <c r="J58" s="15">
        <f t="shared" si="1"/>
        <v>510.068983236839</v>
      </c>
      <c r="K58" s="15">
        <f t="shared" si="2"/>
        <v>4026.39080854682</v>
      </c>
      <c r="L58" s="15">
        <f t="shared" si="3"/>
        <v>0.112437673130194</v>
      </c>
      <c r="M58" s="15">
        <f t="shared" si="4"/>
        <v>0.126681439405761</v>
      </c>
      <c r="N58" s="16">
        <f t="shared" si="5"/>
        <v>34.5454545454545</v>
      </c>
      <c r="O58" s="16">
        <f t="shared" si="6"/>
        <v>198926.903462367</v>
      </c>
      <c r="P58" s="16">
        <f t="shared" si="7"/>
        <v>229504.276087169</v>
      </c>
      <c r="Q58" s="16">
        <f t="shared" si="8"/>
        <v>6.84210526315789</v>
      </c>
      <c r="R58" s="16">
        <f t="shared" si="9"/>
        <v>0.866767743302578</v>
      </c>
      <c r="S58" s="16">
        <v>14</v>
      </c>
    </row>
    <row r="59" spans="1:19">
      <c r="A59" s="8" t="s">
        <v>77</v>
      </c>
      <c r="B59" s="7">
        <v>76</v>
      </c>
      <c r="C59" s="7">
        <v>2.2</v>
      </c>
      <c r="D59" s="7">
        <v>266</v>
      </c>
      <c r="E59" s="7">
        <v>390</v>
      </c>
      <c r="F59" s="7">
        <v>57</v>
      </c>
      <c r="G59" s="9" t="s">
        <v>20</v>
      </c>
      <c r="H59" s="7">
        <v>480</v>
      </c>
      <c r="I59" s="14">
        <f t="shared" si="0"/>
        <v>4536.45979178366</v>
      </c>
      <c r="J59" s="15">
        <f t="shared" si="1"/>
        <v>510.068983236839</v>
      </c>
      <c r="K59" s="15">
        <f t="shared" si="2"/>
        <v>4026.39080854682</v>
      </c>
      <c r="L59" s="15">
        <f t="shared" si="3"/>
        <v>0.112437673130194</v>
      </c>
      <c r="M59" s="15">
        <f t="shared" si="4"/>
        <v>0.126681439405761</v>
      </c>
      <c r="N59" s="16">
        <f t="shared" si="5"/>
        <v>34.5454545454545</v>
      </c>
      <c r="O59" s="16">
        <f t="shared" si="6"/>
        <v>198926.903462367</v>
      </c>
      <c r="P59" s="16">
        <f t="shared" si="7"/>
        <v>229504.276087169</v>
      </c>
      <c r="Q59" s="16">
        <f t="shared" si="8"/>
        <v>6.84210526315789</v>
      </c>
      <c r="R59" s="16">
        <f t="shared" si="9"/>
        <v>0.866767743302578</v>
      </c>
      <c r="S59" s="16">
        <v>14</v>
      </c>
    </row>
    <row r="60" spans="1:19">
      <c r="A60" s="8" t="s">
        <v>78</v>
      </c>
      <c r="B60" s="7">
        <v>76</v>
      </c>
      <c r="C60" s="7">
        <v>2.2</v>
      </c>
      <c r="D60" s="7">
        <v>266</v>
      </c>
      <c r="E60" s="7">
        <v>390</v>
      </c>
      <c r="F60" s="7">
        <v>57</v>
      </c>
      <c r="G60" s="9" t="s">
        <v>20</v>
      </c>
      <c r="H60" s="7">
        <v>420</v>
      </c>
      <c r="I60" s="14">
        <f t="shared" si="0"/>
        <v>4536.45979178366</v>
      </c>
      <c r="J60" s="15">
        <f t="shared" si="1"/>
        <v>510.068983236839</v>
      </c>
      <c r="K60" s="15">
        <f t="shared" si="2"/>
        <v>4026.39080854682</v>
      </c>
      <c r="L60" s="15">
        <f t="shared" si="3"/>
        <v>0.112437673130194</v>
      </c>
      <c r="M60" s="15">
        <f t="shared" si="4"/>
        <v>0.126681439405761</v>
      </c>
      <c r="N60" s="16">
        <f t="shared" si="5"/>
        <v>34.5454545454545</v>
      </c>
      <c r="O60" s="16">
        <f t="shared" si="6"/>
        <v>198926.903462367</v>
      </c>
      <c r="P60" s="16">
        <f t="shared" si="7"/>
        <v>229504.276087169</v>
      </c>
      <c r="Q60" s="16">
        <f t="shared" si="8"/>
        <v>6.84210526315789</v>
      </c>
      <c r="R60" s="16">
        <f t="shared" si="9"/>
        <v>0.866767743302578</v>
      </c>
      <c r="S60" s="16">
        <v>14</v>
      </c>
    </row>
    <row r="61" spans="1:19">
      <c r="A61" s="8" t="s">
        <v>79</v>
      </c>
      <c r="B61" s="7">
        <v>76</v>
      </c>
      <c r="C61" s="7">
        <v>2.2</v>
      </c>
      <c r="D61" s="7">
        <v>266</v>
      </c>
      <c r="E61" s="7">
        <v>390</v>
      </c>
      <c r="F61" s="7">
        <v>57</v>
      </c>
      <c r="G61" s="9" t="s">
        <v>20</v>
      </c>
      <c r="H61" s="7">
        <v>465</v>
      </c>
      <c r="I61" s="14">
        <f t="shared" si="0"/>
        <v>4536.45979178366</v>
      </c>
      <c r="J61" s="15">
        <f t="shared" si="1"/>
        <v>510.068983236839</v>
      </c>
      <c r="K61" s="15">
        <f t="shared" si="2"/>
        <v>4026.39080854682</v>
      </c>
      <c r="L61" s="15">
        <f t="shared" si="3"/>
        <v>0.112437673130194</v>
      </c>
      <c r="M61" s="15">
        <f t="shared" si="4"/>
        <v>0.126681439405761</v>
      </c>
      <c r="N61" s="16">
        <f t="shared" si="5"/>
        <v>34.5454545454545</v>
      </c>
      <c r="O61" s="16">
        <f t="shared" si="6"/>
        <v>198926.903462367</v>
      </c>
      <c r="P61" s="16">
        <f t="shared" si="7"/>
        <v>229504.276087169</v>
      </c>
      <c r="Q61" s="16">
        <f t="shared" si="8"/>
        <v>6.84210526315789</v>
      </c>
      <c r="R61" s="16">
        <f t="shared" si="9"/>
        <v>0.866767743302578</v>
      </c>
      <c r="S61" s="16">
        <v>14</v>
      </c>
    </row>
    <row r="62" spans="1:19">
      <c r="A62" s="8" t="s">
        <v>80</v>
      </c>
      <c r="B62" s="7">
        <v>101.7</v>
      </c>
      <c r="C62" s="7">
        <v>2.4</v>
      </c>
      <c r="D62" s="7">
        <v>356</v>
      </c>
      <c r="E62" s="7">
        <v>380</v>
      </c>
      <c r="F62" s="7">
        <v>57</v>
      </c>
      <c r="G62" s="9" t="s">
        <v>20</v>
      </c>
      <c r="H62" s="7">
        <v>770</v>
      </c>
      <c r="I62" s="14">
        <f t="shared" si="0"/>
        <v>8123.28681022183</v>
      </c>
      <c r="J62" s="15">
        <f t="shared" si="1"/>
        <v>748.70436120352</v>
      </c>
      <c r="K62" s="15">
        <f t="shared" si="2"/>
        <v>7374.58244901831</v>
      </c>
      <c r="L62" s="15">
        <f t="shared" si="3"/>
        <v>0.0921676630032806</v>
      </c>
      <c r="M62" s="15">
        <f t="shared" si="4"/>
        <v>0.101524983465767</v>
      </c>
      <c r="N62" s="16">
        <f t="shared" si="5"/>
        <v>42.375</v>
      </c>
      <c r="O62" s="16">
        <f t="shared" si="6"/>
        <v>284507.657257338</v>
      </c>
      <c r="P62" s="16">
        <f t="shared" si="7"/>
        <v>420351.199594044</v>
      </c>
      <c r="Q62" s="16">
        <f t="shared" si="8"/>
        <v>6.66666666666667</v>
      </c>
      <c r="R62" s="16">
        <f t="shared" si="9"/>
        <v>0.676833223105113</v>
      </c>
      <c r="S62" s="16">
        <v>14.0019665683382</v>
      </c>
    </row>
    <row r="63" spans="1:19">
      <c r="A63" s="8" t="s">
        <v>81</v>
      </c>
      <c r="B63" s="7">
        <v>101.7</v>
      </c>
      <c r="C63" s="7">
        <v>2.4</v>
      </c>
      <c r="D63" s="7">
        <v>356</v>
      </c>
      <c r="E63" s="7">
        <v>380</v>
      </c>
      <c r="F63" s="7">
        <v>57</v>
      </c>
      <c r="G63" s="9" t="s">
        <v>20</v>
      </c>
      <c r="H63" s="7">
        <v>775</v>
      </c>
      <c r="I63" s="14">
        <f t="shared" si="0"/>
        <v>8123.28681022183</v>
      </c>
      <c r="J63" s="15">
        <f t="shared" si="1"/>
        <v>748.70436120352</v>
      </c>
      <c r="K63" s="15">
        <f t="shared" si="2"/>
        <v>7374.58244901831</v>
      </c>
      <c r="L63" s="15">
        <f t="shared" si="3"/>
        <v>0.0921676630032806</v>
      </c>
      <c r="M63" s="15">
        <f t="shared" si="4"/>
        <v>0.101524983465767</v>
      </c>
      <c r="N63" s="16">
        <f t="shared" si="5"/>
        <v>42.375</v>
      </c>
      <c r="O63" s="16">
        <f t="shared" si="6"/>
        <v>284507.657257338</v>
      </c>
      <c r="P63" s="16">
        <f t="shared" si="7"/>
        <v>420351.199594044</v>
      </c>
      <c r="Q63" s="16">
        <f t="shared" si="8"/>
        <v>6.66666666666667</v>
      </c>
      <c r="R63" s="16">
        <f t="shared" si="9"/>
        <v>0.676833223105113</v>
      </c>
      <c r="S63" s="16">
        <v>14.0019665683382</v>
      </c>
    </row>
    <row r="64" spans="1:19">
      <c r="A64" s="8" t="s">
        <v>82</v>
      </c>
      <c r="B64" s="7">
        <v>101.7</v>
      </c>
      <c r="C64" s="7">
        <v>2.4</v>
      </c>
      <c r="D64" s="7">
        <v>356</v>
      </c>
      <c r="E64" s="7">
        <v>380</v>
      </c>
      <c r="F64" s="7">
        <v>57</v>
      </c>
      <c r="G64" s="9" t="s">
        <v>20</v>
      </c>
      <c r="H64" s="7">
        <v>740</v>
      </c>
      <c r="I64" s="14">
        <f t="shared" si="0"/>
        <v>8123.28681022183</v>
      </c>
      <c r="J64" s="15">
        <f t="shared" si="1"/>
        <v>748.70436120352</v>
      </c>
      <c r="K64" s="15">
        <f t="shared" si="2"/>
        <v>7374.58244901831</v>
      </c>
      <c r="L64" s="15">
        <f t="shared" si="3"/>
        <v>0.0921676630032806</v>
      </c>
      <c r="M64" s="15">
        <f t="shared" si="4"/>
        <v>0.101524983465767</v>
      </c>
      <c r="N64" s="16">
        <f t="shared" si="5"/>
        <v>42.375</v>
      </c>
      <c r="O64" s="16">
        <f t="shared" si="6"/>
        <v>284507.657257338</v>
      </c>
      <c r="P64" s="16">
        <f t="shared" si="7"/>
        <v>420351.199594044</v>
      </c>
      <c r="Q64" s="16">
        <f t="shared" si="8"/>
        <v>6.66666666666667</v>
      </c>
      <c r="R64" s="16">
        <f t="shared" si="9"/>
        <v>0.676833223105113</v>
      </c>
      <c r="S64" s="16">
        <v>14.0019665683382</v>
      </c>
    </row>
    <row r="65" spans="1:19">
      <c r="A65" s="8" t="s">
        <v>83</v>
      </c>
      <c r="B65" s="7">
        <v>101.7</v>
      </c>
      <c r="C65" s="7">
        <v>2.4</v>
      </c>
      <c r="D65" s="7">
        <v>356</v>
      </c>
      <c r="E65" s="7">
        <v>380</v>
      </c>
      <c r="F65" s="7">
        <v>57</v>
      </c>
      <c r="G65" s="9" t="s">
        <v>20</v>
      </c>
      <c r="H65" s="6">
        <v>690</v>
      </c>
      <c r="I65" s="14">
        <f t="shared" si="0"/>
        <v>8123.28681022183</v>
      </c>
      <c r="J65" s="15">
        <f t="shared" si="1"/>
        <v>748.70436120352</v>
      </c>
      <c r="K65" s="15">
        <f t="shared" si="2"/>
        <v>7374.58244901831</v>
      </c>
      <c r="L65" s="15">
        <f t="shared" si="3"/>
        <v>0.0921676630032806</v>
      </c>
      <c r="M65" s="15">
        <f t="shared" si="4"/>
        <v>0.101524983465767</v>
      </c>
      <c r="N65" s="16">
        <f t="shared" si="5"/>
        <v>42.375</v>
      </c>
      <c r="O65" s="16">
        <f t="shared" si="6"/>
        <v>284507.657257338</v>
      </c>
      <c r="P65" s="16">
        <f t="shared" si="7"/>
        <v>420351.199594044</v>
      </c>
      <c r="Q65" s="16">
        <f t="shared" si="8"/>
        <v>6.66666666666667</v>
      </c>
      <c r="R65" s="16">
        <f t="shared" si="9"/>
        <v>0.676833223105113</v>
      </c>
      <c r="S65" s="16">
        <v>14.0019665683382</v>
      </c>
    </row>
    <row r="66" spans="1:19">
      <c r="A66" s="8" t="s">
        <v>84</v>
      </c>
      <c r="B66" s="7">
        <v>101.7</v>
      </c>
      <c r="C66" s="7">
        <v>2.4</v>
      </c>
      <c r="D66" s="7">
        <v>356</v>
      </c>
      <c r="E66" s="7">
        <v>380</v>
      </c>
      <c r="F66" s="7">
        <v>57</v>
      </c>
      <c r="G66" s="9" t="s">
        <v>20</v>
      </c>
      <c r="H66" s="7">
        <v>775</v>
      </c>
      <c r="I66" s="14">
        <f t="shared" si="0"/>
        <v>8123.28681022183</v>
      </c>
      <c r="J66" s="15">
        <f t="shared" si="1"/>
        <v>748.70436120352</v>
      </c>
      <c r="K66" s="15">
        <f t="shared" si="2"/>
        <v>7374.58244901831</v>
      </c>
      <c r="L66" s="15">
        <f t="shared" si="3"/>
        <v>0.0921676630032806</v>
      </c>
      <c r="M66" s="15">
        <f t="shared" si="4"/>
        <v>0.101524983465767</v>
      </c>
      <c r="N66" s="16">
        <f t="shared" si="5"/>
        <v>42.375</v>
      </c>
      <c r="O66" s="16">
        <f t="shared" si="6"/>
        <v>284507.657257338</v>
      </c>
      <c r="P66" s="16">
        <f t="shared" si="7"/>
        <v>420351.199594044</v>
      </c>
      <c r="Q66" s="16">
        <f t="shared" si="8"/>
        <v>6.66666666666667</v>
      </c>
      <c r="R66" s="16">
        <f t="shared" si="9"/>
        <v>0.676833223105113</v>
      </c>
      <c r="S66" s="16">
        <v>14.0019665683382</v>
      </c>
    </row>
    <row r="67" spans="1:19">
      <c r="A67" s="8" t="s">
        <v>85</v>
      </c>
      <c r="B67" s="7">
        <v>165</v>
      </c>
      <c r="C67" s="7">
        <v>2.82</v>
      </c>
      <c r="D67" s="7">
        <v>580.5</v>
      </c>
      <c r="E67" s="7">
        <v>363.3</v>
      </c>
      <c r="F67" s="7">
        <v>48.3</v>
      </c>
      <c r="G67" s="9" t="s">
        <v>20</v>
      </c>
      <c r="H67" s="7">
        <v>1661.6</v>
      </c>
      <c r="I67" s="14">
        <f t="shared" ref="I67:I130" si="10">(PI()*B67^2)/4</f>
        <v>21382.4649984955</v>
      </c>
      <c r="J67" s="15">
        <f t="shared" ref="J67:J130" si="11">(PI()*(B67^2-(B67-2*C67)^2))/4</f>
        <v>1436.79986029692</v>
      </c>
      <c r="K67" s="15">
        <f t="shared" ref="K67:K130" si="12">(PI()*(B67-2*C67)^2)/4</f>
        <v>19945.6651381986</v>
      </c>
      <c r="L67" s="15">
        <f t="shared" ref="L67:L130" si="13">J67/I67</f>
        <v>0.0671952396694214</v>
      </c>
      <c r="M67" s="15">
        <f t="shared" ref="M67:M130" si="14">J67/K67</f>
        <v>0.0720356954928145</v>
      </c>
      <c r="N67" s="16">
        <f t="shared" ref="N67:N130" si="15">B67/C67</f>
        <v>58.5106382978723</v>
      </c>
      <c r="O67" s="16">
        <f t="shared" ref="O67:O130" si="16">J67*E67</f>
        <v>521989.389245871</v>
      </c>
      <c r="P67" s="16">
        <f t="shared" ref="P67:P130" si="17">K67*F67</f>
        <v>963375.626174993</v>
      </c>
      <c r="Q67" s="16">
        <f t="shared" ref="Q67:Q130" si="18">E67/F67</f>
        <v>7.52173913043478</v>
      </c>
      <c r="R67" s="16">
        <f t="shared" ref="R67:R130" si="19">O67/P67</f>
        <v>0.541833709576387</v>
      </c>
      <c r="S67" s="16">
        <v>14.0727272727273</v>
      </c>
    </row>
    <row r="68" spans="1:19">
      <c r="A68" s="8" t="s">
        <v>86</v>
      </c>
      <c r="B68" s="7">
        <v>190</v>
      </c>
      <c r="C68" s="7">
        <v>1.94</v>
      </c>
      <c r="D68" s="7">
        <v>663.5</v>
      </c>
      <c r="E68" s="7">
        <v>256.4</v>
      </c>
      <c r="F68" s="7">
        <v>41</v>
      </c>
      <c r="G68" s="9" t="s">
        <v>20</v>
      </c>
      <c r="H68" s="7">
        <v>1678.2</v>
      </c>
      <c r="I68" s="14">
        <f t="shared" si="10"/>
        <v>28352.8736986479</v>
      </c>
      <c r="J68" s="15">
        <f t="shared" si="11"/>
        <v>1146.16735400215</v>
      </c>
      <c r="K68" s="15">
        <f t="shared" si="12"/>
        <v>27206.7063446457</v>
      </c>
      <c r="L68" s="15">
        <f t="shared" si="13"/>
        <v>0.0404250858725762</v>
      </c>
      <c r="M68" s="15">
        <f t="shared" si="14"/>
        <v>0.0421281186881966</v>
      </c>
      <c r="N68" s="16">
        <f t="shared" si="15"/>
        <v>97.9381443298969</v>
      </c>
      <c r="O68" s="16">
        <f t="shared" si="16"/>
        <v>293877.309566151</v>
      </c>
      <c r="P68" s="16">
        <f t="shared" si="17"/>
        <v>1115474.96013048</v>
      </c>
      <c r="Q68" s="16">
        <f t="shared" si="18"/>
        <v>6.25365853658537</v>
      </c>
      <c r="R68" s="16">
        <f t="shared" si="19"/>
        <v>0.263454869064722</v>
      </c>
      <c r="S68" s="16">
        <v>13.9684210526316</v>
      </c>
    </row>
    <row r="69" spans="1:19">
      <c r="A69" s="8" t="s">
        <v>87</v>
      </c>
      <c r="B69" s="7">
        <v>190</v>
      </c>
      <c r="C69" s="7">
        <v>1.52</v>
      </c>
      <c r="D69" s="7">
        <v>664.5</v>
      </c>
      <c r="E69" s="7">
        <v>306.1</v>
      </c>
      <c r="F69" s="7">
        <v>48.3</v>
      </c>
      <c r="G69" s="9" t="s">
        <v>20</v>
      </c>
      <c r="H69" s="7">
        <v>1694.8</v>
      </c>
      <c r="I69" s="14">
        <f t="shared" si="10"/>
        <v>28352.8736986479</v>
      </c>
      <c r="J69" s="15">
        <f t="shared" si="11"/>
        <v>900.033622689875</v>
      </c>
      <c r="K69" s="15">
        <f t="shared" si="12"/>
        <v>27452.840075958</v>
      </c>
      <c r="L69" s="15">
        <f t="shared" si="13"/>
        <v>0.0317439999999999</v>
      </c>
      <c r="M69" s="15">
        <f t="shared" si="14"/>
        <v>0.0327847180910832</v>
      </c>
      <c r="N69" s="16">
        <f t="shared" si="15"/>
        <v>125</v>
      </c>
      <c r="O69" s="16">
        <f t="shared" si="16"/>
        <v>275500.291905371</v>
      </c>
      <c r="P69" s="16">
        <f t="shared" si="17"/>
        <v>1325972.17566877</v>
      </c>
      <c r="Q69" s="16">
        <f t="shared" si="18"/>
        <v>6.33747412008282</v>
      </c>
      <c r="R69" s="16">
        <f t="shared" si="19"/>
        <v>0.207772302436451</v>
      </c>
      <c r="S69" s="16">
        <v>13.9894736842105</v>
      </c>
    </row>
    <row r="70" spans="1:19">
      <c r="A70" s="8" t="s">
        <v>88</v>
      </c>
      <c r="B70" s="7">
        <v>190</v>
      </c>
      <c r="C70" s="7">
        <v>1.13</v>
      </c>
      <c r="D70" s="7">
        <v>664.5</v>
      </c>
      <c r="E70" s="7">
        <v>185.7</v>
      </c>
      <c r="F70" s="7">
        <v>41</v>
      </c>
      <c r="G70" s="9" t="s">
        <v>20</v>
      </c>
      <c r="H70" s="7">
        <v>1376.6</v>
      </c>
      <c r="I70" s="14">
        <f t="shared" si="10"/>
        <v>28352.8736986479</v>
      </c>
      <c r="J70" s="15">
        <f t="shared" si="11"/>
        <v>670.48844306636</v>
      </c>
      <c r="K70" s="15">
        <f t="shared" si="12"/>
        <v>27682.3852555815</v>
      </c>
      <c r="L70" s="15">
        <f t="shared" si="13"/>
        <v>0.0236479889196676</v>
      </c>
      <c r="M70" s="15">
        <f t="shared" si="14"/>
        <v>0.0242207612124454</v>
      </c>
      <c r="N70" s="16">
        <f t="shared" si="15"/>
        <v>168.141592920354</v>
      </c>
      <c r="O70" s="16">
        <f t="shared" si="16"/>
        <v>124509.703877423</v>
      </c>
      <c r="P70" s="16">
        <f t="shared" si="17"/>
        <v>1134977.79547884</v>
      </c>
      <c r="Q70" s="16">
        <f t="shared" si="18"/>
        <v>4.52926829268293</v>
      </c>
      <c r="R70" s="16">
        <f t="shared" si="19"/>
        <v>0.109702325784173</v>
      </c>
      <c r="S70" s="16">
        <v>13.9894736842105</v>
      </c>
    </row>
    <row r="71" spans="1:19">
      <c r="A71" s="8" t="s">
        <v>89</v>
      </c>
      <c r="B71" s="7">
        <v>190</v>
      </c>
      <c r="C71" s="7">
        <v>0.86</v>
      </c>
      <c r="D71" s="7">
        <v>659</v>
      </c>
      <c r="E71" s="7">
        <v>210.7</v>
      </c>
      <c r="F71" s="7">
        <v>41</v>
      </c>
      <c r="G71" s="9" t="s">
        <v>20</v>
      </c>
      <c r="H71" s="7">
        <v>1349.9</v>
      </c>
      <c r="I71" s="14">
        <f t="shared" si="10"/>
        <v>28352.8736986479</v>
      </c>
      <c r="J71" s="15">
        <f t="shared" si="11"/>
        <v>511.012717669979</v>
      </c>
      <c r="K71" s="15">
        <f t="shared" si="12"/>
        <v>27841.8609809779</v>
      </c>
      <c r="L71" s="15">
        <f t="shared" si="13"/>
        <v>0.0180233130193907</v>
      </c>
      <c r="M71" s="15">
        <f t="shared" si="14"/>
        <v>0.0183541149788483</v>
      </c>
      <c r="N71" s="16">
        <f t="shared" si="15"/>
        <v>220.93023255814</v>
      </c>
      <c r="O71" s="16">
        <f t="shared" si="16"/>
        <v>107670.379613065</v>
      </c>
      <c r="P71" s="16">
        <f t="shared" si="17"/>
        <v>1141516.30022009</v>
      </c>
      <c r="Q71" s="16">
        <f t="shared" si="18"/>
        <v>5.1390243902439</v>
      </c>
      <c r="R71" s="16">
        <f t="shared" si="19"/>
        <v>0.0943222445376425</v>
      </c>
      <c r="S71" s="16">
        <v>13.8736842105263</v>
      </c>
    </row>
    <row r="72" spans="1:19">
      <c r="A72" s="8" t="s">
        <v>90</v>
      </c>
      <c r="B72" s="7">
        <v>165</v>
      </c>
      <c r="C72" s="7">
        <v>2.82</v>
      </c>
      <c r="D72" s="7">
        <v>580.5</v>
      </c>
      <c r="E72" s="7">
        <v>363.3</v>
      </c>
      <c r="F72" s="7">
        <v>80.2</v>
      </c>
      <c r="G72" s="9" t="s">
        <v>20</v>
      </c>
      <c r="H72" s="7">
        <v>2295</v>
      </c>
      <c r="I72" s="14">
        <f t="shared" si="10"/>
        <v>21382.4649984955</v>
      </c>
      <c r="J72" s="15">
        <f t="shared" si="11"/>
        <v>1436.79986029692</v>
      </c>
      <c r="K72" s="15">
        <f t="shared" si="12"/>
        <v>19945.6651381986</v>
      </c>
      <c r="L72" s="15">
        <f t="shared" si="13"/>
        <v>0.0671952396694214</v>
      </c>
      <c r="M72" s="15">
        <f t="shared" si="14"/>
        <v>0.0720356954928145</v>
      </c>
      <c r="N72" s="16">
        <f t="shared" si="15"/>
        <v>58.5106382978723</v>
      </c>
      <c r="O72" s="16">
        <f t="shared" si="16"/>
        <v>521989.389245871</v>
      </c>
      <c r="P72" s="16">
        <f t="shared" si="17"/>
        <v>1599642.34408353</v>
      </c>
      <c r="Q72" s="16">
        <f t="shared" si="18"/>
        <v>4.52992518703242</v>
      </c>
      <c r="R72" s="16">
        <f t="shared" si="19"/>
        <v>0.326316311378298</v>
      </c>
      <c r="S72" s="16">
        <v>14.0727272727273</v>
      </c>
    </row>
    <row r="73" spans="1:19">
      <c r="A73" s="8" t="s">
        <v>91</v>
      </c>
      <c r="B73" s="7">
        <v>190</v>
      </c>
      <c r="C73" s="7">
        <v>1.94</v>
      </c>
      <c r="D73" s="7">
        <v>663.5</v>
      </c>
      <c r="E73" s="7">
        <v>256.4</v>
      </c>
      <c r="F73" s="7">
        <v>74.7</v>
      </c>
      <c r="G73" s="9" t="s">
        <v>20</v>
      </c>
      <c r="H73" s="7">
        <v>2592</v>
      </c>
      <c r="I73" s="14">
        <f t="shared" si="10"/>
        <v>28352.8736986479</v>
      </c>
      <c r="J73" s="15">
        <f t="shared" si="11"/>
        <v>1146.16735400215</v>
      </c>
      <c r="K73" s="15">
        <f t="shared" si="12"/>
        <v>27206.7063446457</v>
      </c>
      <c r="L73" s="15">
        <f t="shared" si="13"/>
        <v>0.0404250858725762</v>
      </c>
      <c r="M73" s="15">
        <f t="shared" si="14"/>
        <v>0.0421281186881966</v>
      </c>
      <c r="N73" s="16">
        <f t="shared" si="15"/>
        <v>97.9381443298969</v>
      </c>
      <c r="O73" s="16">
        <f t="shared" si="16"/>
        <v>293877.309566151</v>
      </c>
      <c r="P73" s="16">
        <f t="shared" si="17"/>
        <v>2032340.96394504</v>
      </c>
      <c r="Q73" s="16">
        <f t="shared" si="18"/>
        <v>3.43239625167336</v>
      </c>
      <c r="R73" s="16">
        <f t="shared" si="19"/>
        <v>0.144600396675417</v>
      </c>
      <c r="S73" s="16">
        <v>13.9684210526316</v>
      </c>
    </row>
    <row r="74" spans="1:19">
      <c r="A74" s="8" t="s">
        <v>92</v>
      </c>
      <c r="B74" s="7">
        <v>190</v>
      </c>
      <c r="C74" s="7">
        <v>1.52</v>
      </c>
      <c r="D74" s="7">
        <v>663.5</v>
      </c>
      <c r="E74" s="7">
        <v>306.1</v>
      </c>
      <c r="F74" s="7">
        <v>80.2</v>
      </c>
      <c r="G74" s="9" t="s">
        <v>20</v>
      </c>
      <c r="H74" s="7">
        <v>2602</v>
      </c>
      <c r="I74" s="14">
        <f t="shared" si="10"/>
        <v>28352.8736986479</v>
      </c>
      <c r="J74" s="15">
        <f t="shared" si="11"/>
        <v>900.033622689875</v>
      </c>
      <c r="K74" s="15">
        <f t="shared" si="12"/>
        <v>27452.840075958</v>
      </c>
      <c r="L74" s="15">
        <f t="shared" si="13"/>
        <v>0.0317439999999999</v>
      </c>
      <c r="M74" s="15">
        <f t="shared" si="14"/>
        <v>0.0327847180910832</v>
      </c>
      <c r="N74" s="16">
        <f t="shared" si="15"/>
        <v>125</v>
      </c>
      <c r="O74" s="16">
        <f t="shared" si="16"/>
        <v>275500.291905371</v>
      </c>
      <c r="P74" s="16">
        <f t="shared" si="17"/>
        <v>2201717.77409183</v>
      </c>
      <c r="Q74" s="16">
        <f t="shared" si="18"/>
        <v>3.81670822942643</v>
      </c>
      <c r="R74" s="16">
        <f t="shared" si="19"/>
        <v>0.125129703337663</v>
      </c>
      <c r="S74" s="16">
        <v>13.9684210526316</v>
      </c>
    </row>
    <row r="75" spans="1:19">
      <c r="A75" s="8" t="s">
        <v>93</v>
      </c>
      <c r="B75" s="7">
        <v>190</v>
      </c>
      <c r="C75" s="7">
        <v>1.13</v>
      </c>
      <c r="D75" s="7">
        <v>662.5</v>
      </c>
      <c r="E75" s="7">
        <v>185.7</v>
      </c>
      <c r="F75" s="7">
        <v>80.2</v>
      </c>
      <c r="G75" s="9" t="s">
        <v>20</v>
      </c>
      <c r="H75" s="7">
        <v>2295</v>
      </c>
      <c r="I75" s="14">
        <f t="shared" si="10"/>
        <v>28352.8736986479</v>
      </c>
      <c r="J75" s="15">
        <f t="shared" si="11"/>
        <v>670.48844306636</v>
      </c>
      <c r="K75" s="15">
        <f t="shared" si="12"/>
        <v>27682.3852555815</v>
      </c>
      <c r="L75" s="15">
        <f t="shared" si="13"/>
        <v>0.0236479889196676</v>
      </c>
      <c r="M75" s="15">
        <f t="shared" si="14"/>
        <v>0.0242207612124454</v>
      </c>
      <c r="N75" s="16">
        <f t="shared" si="15"/>
        <v>168.141592920354</v>
      </c>
      <c r="O75" s="16">
        <f t="shared" si="16"/>
        <v>124509.703877423</v>
      </c>
      <c r="P75" s="16">
        <f t="shared" si="17"/>
        <v>2220127.29749764</v>
      </c>
      <c r="Q75" s="16">
        <f t="shared" si="18"/>
        <v>2.31546134663342</v>
      </c>
      <c r="R75" s="16">
        <f t="shared" si="19"/>
        <v>0.0560822363734553</v>
      </c>
      <c r="S75" s="16">
        <v>13.9473684210526</v>
      </c>
    </row>
    <row r="76" spans="1:19">
      <c r="A76" s="8" t="s">
        <v>94</v>
      </c>
      <c r="B76" s="7">
        <v>190</v>
      </c>
      <c r="C76" s="7">
        <v>0.86</v>
      </c>
      <c r="D76" s="7">
        <v>663.5</v>
      </c>
      <c r="E76" s="7">
        <v>210.7</v>
      </c>
      <c r="F76" s="7">
        <v>74.7</v>
      </c>
      <c r="G76" s="9" t="s">
        <v>20</v>
      </c>
      <c r="H76" s="7">
        <v>2451</v>
      </c>
      <c r="I76" s="14">
        <f t="shared" si="10"/>
        <v>28352.8736986479</v>
      </c>
      <c r="J76" s="15">
        <f t="shared" si="11"/>
        <v>511.012717669979</v>
      </c>
      <c r="K76" s="15">
        <f t="shared" si="12"/>
        <v>27841.8609809779</v>
      </c>
      <c r="L76" s="15">
        <f t="shared" si="13"/>
        <v>0.0180233130193907</v>
      </c>
      <c r="M76" s="15">
        <f t="shared" si="14"/>
        <v>0.0183541149788483</v>
      </c>
      <c r="N76" s="16">
        <f t="shared" si="15"/>
        <v>220.93023255814</v>
      </c>
      <c r="O76" s="16">
        <f t="shared" si="16"/>
        <v>107670.379613065</v>
      </c>
      <c r="P76" s="16">
        <f t="shared" si="17"/>
        <v>2079787.01527905</v>
      </c>
      <c r="Q76" s="16">
        <f t="shared" si="18"/>
        <v>2.82061579651941</v>
      </c>
      <c r="R76" s="16">
        <f t="shared" si="19"/>
        <v>0.0517699066404731</v>
      </c>
      <c r="S76" s="16">
        <v>13.9684210526316</v>
      </c>
    </row>
    <row r="77" spans="1:19">
      <c r="A77" s="8" t="s">
        <v>95</v>
      </c>
      <c r="B77" s="7">
        <v>165</v>
      </c>
      <c r="C77" s="7">
        <v>2.82</v>
      </c>
      <c r="D77" s="7">
        <v>577.5</v>
      </c>
      <c r="E77" s="7">
        <v>363.3</v>
      </c>
      <c r="F77" s="7">
        <v>108</v>
      </c>
      <c r="G77" s="9" t="s">
        <v>20</v>
      </c>
      <c r="H77" s="7">
        <v>2673</v>
      </c>
      <c r="I77" s="14">
        <f t="shared" si="10"/>
        <v>21382.4649984955</v>
      </c>
      <c r="J77" s="15">
        <f t="shared" si="11"/>
        <v>1436.79986029692</v>
      </c>
      <c r="K77" s="15">
        <f t="shared" si="12"/>
        <v>19945.6651381986</v>
      </c>
      <c r="L77" s="15">
        <f t="shared" si="13"/>
        <v>0.0671952396694214</v>
      </c>
      <c r="M77" s="15">
        <f t="shared" si="14"/>
        <v>0.0720356954928145</v>
      </c>
      <c r="N77" s="16">
        <f t="shared" si="15"/>
        <v>58.5106382978723</v>
      </c>
      <c r="O77" s="16">
        <f t="shared" si="16"/>
        <v>521989.389245871</v>
      </c>
      <c r="P77" s="16">
        <f t="shared" si="17"/>
        <v>2154131.83492545</v>
      </c>
      <c r="Q77" s="16">
        <f t="shared" si="18"/>
        <v>3.36388888888889</v>
      </c>
      <c r="R77" s="16">
        <f t="shared" si="19"/>
        <v>0.242320075671662</v>
      </c>
      <c r="S77" s="16">
        <v>14</v>
      </c>
    </row>
    <row r="78" spans="1:19">
      <c r="A78" s="8" t="s">
        <v>96</v>
      </c>
      <c r="B78" s="7">
        <v>190</v>
      </c>
      <c r="C78" s="7">
        <v>1.94</v>
      </c>
      <c r="D78" s="7">
        <v>660</v>
      </c>
      <c r="E78" s="7">
        <v>256.4</v>
      </c>
      <c r="F78" s="7">
        <v>108</v>
      </c>
      <c r="G78" s="9" t="s">
        <v>20</v>
      </c>
      <c r="H78" s="7">
        <v>3360</v>
      </c>
      <c r="I78" s="14">
        <f t="shared" si="10"/>
        <v>28352.8736986479</v>
      </c>
      <c r="J78" s="15">
        <f t="shared" si="11"/>
        <v>1146.16735400215</v>
      </c>
      <c r="K78" s="15">
        <f t="shared" si="12"/>
        <v>27206.7063446457</v>
      </c>
      <c r="L78" s="15">
        <f t="shared" si="13"/>
        <v>0.0404250858725762</v>
      </c>
      <c r="M78" s="15">
        <f t="shared" si="14"/>
        <v>0.0421281186881966</v>
      </c>
      <c r="N78" s="16">
        <f t="shared" si="15"/>
        <v>97.9381443298969</v>
      </c>
      <c r="O78" s="16">
        <f t="shared" si="16"/>
        <v>293877.309566151</v>
      </c>
      <c r="P78" s="16">
        <f t="shared" si="17"/>
        <v>2938324.28522174</v>
      </c>
      <c r="Q78" s="16">
        <f t="shared" si="18"/>
        <v>2.37407407407407</v>
      </c>
      <c r="R78" s="16">
        <f t="shared" si="19"/>
        <v>0.100015274367163</v>
      </c>
      <c r="S78" s="16">
        <v>13.8947368421053</v>
      </c>
    </row>
    <row r="79" spans="1:19">
      <c r="A79" s="8" t="s">
        <v>97</v>
      </c>
      <c r="B79" s="7">
        <v>190</v>
      </c>
      <c r="C79" s="7">
        <v>1.52</v>
      </c>
      <c r="D79" s="7">
        <v>661.5</v>
      </c>
      <c r="E79" s="7">
        <v>306.1</v>
      </c>
      <c r="F79" s="7">
        <v>108</v>
      </c>
      <c r="G79" s="8" t="s">
        <v>20</v>
      </c>
      <c r="H79" s="7">
        <v>3260</v>
      </c>
      <c r="I79" s="14">
        <f t="shared" si="10"/>
        <v>28352.8736986479</v>
      </c>
      <c r="J79" s="15">
        <f t="shared" si="11"/>
        <v>900.033622689875</v>
      </c>
      <c r="K79" s="15">
        <f t="shared" si="12"/>
        <v>27452.840075958</v>
      </c>
      <c r="L79" s="15">
        <f t="shared" si="13"/>
        <v>0.0317439999999999</v>
      </c>
      <c r="M79" s="15">
        <f t="shared" si="14"/>
        <v>0.0327847180910832</v>
      </c>
      <c r="N79" s="16">
        <f t="shared" si="15"/>
        <v>125</v>
      </c>
      <c r="O79" s="16">
        <f t="shared" si="16"/>
        <v>275500.291905371</v>
      </c>
      <c r="P79" s="16">
        <f t="shared" si="17"/>
        <v>2964906.72820346</v>
      </c>
      <c r="Q79" s="16">
        <f t="shared" si="18"/>
        <v>2.83425925925926</v>
      </c>
      <c r="R79" s="16">
        <f t="shared" si="19"/>
        <v>0.0929203908118572</v>
      </c>
      <c r="S79" s="16">
        <v>13.9263157894737</v>
      </c>
    </row>
    <row r="80" spans="1:19">
      <c r="A80" s="8" t="s">
        <v>98</v>
      </c>
      <c r="B80" s="7">
        <v>190</v>
      </c>
      <c r="C80" s="7">
        <v>1.13</v>
      </c>
      <c r="D80" s="7">
        <v>660</v>
      </c>
      <c r="E80" s="7">
        <v>185.7</v>
      </c>
      <c r="F80" s="7">
        <v>108</v>
      </c>
      <c r="G80" s="8" t="s">
        <v>20</v>
      </c>
      <c r="H80" s="7">
        <v>3058</v>
      </c>
      <c r="I80" s="14">
        <f t="shared" si="10"/>
        <v>28352.8736986479</v>
      </c>
      <c r="J80" s="15">
        <f t="shared" si="11"/>
        <v>670.48844306636</v>
      </c>
      <c r="K80" s="15">
        <f t="shared" si="12"/>
        <v>27682.3852555815</v>
      </c>
      <c r="L80" s="15">
        <f t="shared" si="13"/>
        <v>0.0236479889196676</v>
      </c>
      <c r="M80" s="15">
        <f t="shared" si="14"/>
        <v>0.0242207612124454</v>
      </c>
      <c r="N80" s="16">
        <f t="shared" si="15"/>
        <v>168.141592920354</v>
      </c>
      <c r="O80" s="16">
        <f t="shared" si="16"/>
        <v>124509.703877423</v>
      </c>
      <c r="P80" s="16">
        <f t="shared" si="17"/>
        <v>2989697.6076028</v>
      </c>
      <c r="Q80" s="16">
        <f t="shared" si="18"/>
        <v>1.71944444444444</v>
      </c>
      <c r="R80" s="16">
        <f t="shared" si="19"/>
        <v>0.0416462533069547</v>
      </c>
      <c r="S80" s="16">
        <v>13.8947368421053</v>
      </c>
    </row>
    <row r="81" spans="1:19">
      <c r="A81" s="8" t="s">
        <v>99</v>
      </c>
      <c r="B81" s="7">
        <v>190</v>
      </c>
      <c r="C81" s="7">
        <v>0.86</v>
      </c>
      <c r="D81" s="7">
        <v>662</v>
      </c>
      <c r="E81" s="7">
        <v>210.7</v>
      </c>
      <c r="F81" s="7">
        <v>108</v>
      </c>
      <c r="G81" s="8" t="s">
        <v>20</v>
      </c>
      <c r="H81" s="7">
        <v>3070</v>
      </c>
      <c r="I81" s="14">
        <f t="shared" si="10"/>
        <v>28352.8736986479</v>
      </c>
      <c r="J81" s="15">
        <f t="shared" si="11"/>
        <v>511.012717669979</v>
      </c>
      <c r="K81" s="15">
        <f t="shared" si="12"/>
        <v>27841.8609809779</v>
      </c>
      <c r="L81" s="15">
        <f t="shared" si="13"/>
        <v>0.0180233130193907</v>
      </c>
      <c r="M81" s="15">
        <f t="shared" si="14"/>
        <v>0.0183541149788483</v>
      </c>
      <c r="N81" s="16">
        <f t="shared" si="15"/>
        <v>220.93023255814</v>
      </c>
      <c r="O81" s="16">
        <f t="shared" si="16"/>
        <v>107670.379613065</v>
      </c>
      <c r="P81" s="16">
        <f t="shared" si="17"/>
        <v>3006920.98594561</v>
      </c>
      <c r="Q81" s="16">
        <f t="shared" si="18"/>
        <v>1.95092592592593</v>
      </c>
      <c r="R81" s="16">
        <f t="shared" si="19"/>
        <v>0.0358075187596606</v>
      </c>
      <c r="S81" s="16">
        <v>13.9368421052632</v>
      </c>
    </row>
    <row r="82" spans="1:19">
      <c r="A82" s="8" t="s">
        <v>100</v>
      </c>
      <c r="B82" s="7">
        <v>111.3</v>
      </c>
      <c r="C82" s="7">
        <v>2</v>
      </c>
      <c r="D82" s="7">
        <v>339</v>
      </c>
      <c r="E82" s="7">
        <v>354.6</v>
      </c>
      <c r="F82" s="7">
        <v>60.75</v>
      </c>
      <c r="G82" s="8" t="s">
        <v>20</v>
      </c>
      <c r="H82" s="7">
        <v>855</v>
      </c>
      <c r="I82" s="14">
        <f t="shared" si="10"/>
        <v>9729.26897473693</v>
      </c>
      <c r="J82" s="15">
        <f t="shared" si="11"/>
        <v>686.752154074729</v>
      </c>
      <c r="K82" s="15">
        <f t="shared" si="12"/>
        <v>9042.51682066221</v>
      </c>
      <c r="L82" s="15">
        <f t="shared" si="13"/>
        <v>0.0705862029159593</v>
      </c>
      <c r="M82" s="15">
        <f t="shared" si="14"/>
        <v>0.0759470142765448</v>
      </c>
      <c r="N82" s="16">
        <f t="shared" si="15"/>
        <v>55.65</v>
      </c>
      <c r="O82" s="16">
        <f t="shared" si="16"/>
        <v>243522.313834899</v>
      </c>
      <c r="P82" s="16">
        <f t="shared" si="17"/>
        <v>549332.896855229</v>
      </c>
      <c r="Q82" s="16">
        <f t="shared" si="18"/>
        <v>5.83703703703704</v>
      </c>
      <c r="R82" s="16">
        <f t="shared" si="19"/>
        <v>0.443305535184572</v>
      </c>
      <c r="S82" s="16">
        <v>12.1832884097035</v>
      </c>
    </row>
    <row r="83" spans="1:19">
      <c r="A83" s="8" t="s">
        <v>101</v>
      </c>
      <c r="B83" s="7">
        <v>113.6</v>
      </c>
      <c r="C83" s="7">
        <v>3.2</v>
      </c>
      <c r="D83" s="7">
        <v>338</v>
      </c>
      <c r="E83" s="7">
        <v>354.6</v>
      </c>
      <c r="F83" s="7">
        <v>60.75</v>
      </c>
      <c r="G83" s="8" t="s">
        <v>20</v>
      </c>
      <c r="H83" s="7">
        <v>1145</v>
      </c>
      <c r="I83" s="14">
        <f t="shared" si="10"/>
        <v>10135.5318827175</v>
      </c>
      <c r="J83" s="15">
        <f t="shared" si="11"/>
        <v>1109.8618526602</v>
      </c>
      <c r="K83" s="15">
        <f t="shared" si="12"/>
        <v>9025.67003005733</v>
      </c>
      <c r="L83" s="15">
        <f t="shared" si="13"/>
        <v>0.109502082920056</v>
      </c>
      <c r="M83" s="15">
        <f t="shared" si="14"/>
        <v>0.12296725328581</v>
      </c>
      <c r="N83" s="16">
        <f t="shared" si="15"/>
        <v>35.5</v>
      </c>
      <c r="O83" s="16">
        <f t="shared" si="16"/>
        <v>393557.012953308</v>
      </c>
      <c r="P83" s="16">
        <f t="shared" si="17"/>
        <v>548309.454325983</v>
      </c>
      <c r="Q83" s="16">
        <f t="shared" si="18"/>
        <v>5.83703703703704</v>
      </c>
      <c r="R83" s="16">
        <f t="shared" si="19"/>
        <v>0.717764411771986</v>
      </c>
      <c r="S83" s="16">
        <v>11.9014084507042</v>
      </c>
    </row>
    <row r="84" spans="1:19">
      <c r="A84" s="8" t="s">
        <v>102</v>
      </c>
      <c r="B84" s="7">
        <v>114.8</v>
      </c>
      <c r="C84" s="7">
        <v>3.9</v>
      </c>
      <c r="D84" s="7">
        <v>338</v>
      </c>
      <c r="E84" s="7">
        <v>357.7</v>
      </c>
      <c r="F84" s="7">
        <v>60.75</v>
      </c>
      <c r="G84" s="8" t="s">
        <v>20</v>
      </c>
      <c r="H84" s="7">
        <v>1116</v>
      </c>
      <c r="I84" s="14">
        <f t="shared" si="10"/>
        <v>10350.7938113415</v>
      </c>
      <c r="J84" s="15">
        <f t="shared" si="11"/>
        <v>1358.77023860412</v>
      </c>
      <c r="K84" s="15">
        <f t="shared" si="12"/>
        <v>8992.02357273739</v>
      </c>
      <c r="L84" s="15">
        <f t="shared" si="13"/>
        <v>0.131272080515728</v>
      </c>
      <c r="M84" s="15">
        <f t="shared" si="14"/>
        <v>0.151108393746179</v>
      </c>
      <c r="N84" s="16">
        <f t="shared" si="15"/>
        <v>29.4358974358974</v>
      </c>
      <c r="O84" s="16">
        <f t="shared" si="16"/>
        <v>486032.114348694</v>
      </c>
      <c r="P84" s="16">
        <f t="shared" si="17"/>
        <v>546265.432043796</v>
      </c>
      <c r="Q84" s="16">
        <f t="shared" si="18"/>
        <v>5.8880658436214</v>
      </c>
      <c r="R84" s="16">
        <f t="shared" si="19"/>
        <v>0.889736171901368</v>
      </c>
      <c r="S84" s="16">
        <v>11.7770034843206</v>
      </c>
    </row>
    <row r="85" spans="1:19">
      <c r="A85" s="8" t="s">
        <v>103</v>
      </c>
      <c r="B85" s="7">
        <v>115.9</v>
      </c>
      <c r="C85" s="7">
        <v>4.9</v>
      </c>
      <c r="D85" s="7">
        <v>356</v>
      </c>
      <c r="E85" s="7">
        <v>309.5</v>
      </c>
      <c r="F85" s="7">
        <v>60.75</v>
      </c>
      <c r="G85" s="8" t="s">
        <v>20</v>
      </c>
      <c r="H85" s="7">
        <v>1174</v>
      </c>
      <c r="I85" s="14">
        <f t="shared" si="10"/>
        <v>10550.1043032669</v>
      </c>
      <c r="J85" s="15">
        <f t="shared" si="11"/>
        <v>1708.71224428749</v>
      </c>
      <c r="K85" s="15">
        <f t="shared" si="12"/>
        <v>8841.39205897939</v>
      </c>
      <c r="L85" s="15">
        <f t="shared" si="13"/>
        <v>0.161961644659606</v>
      </c>
      <c r="M85" s="15">
        <f t="shared" si="14"/>
        <v>0.193262806681229</v>
      </c>
      <c r="N85" s="16">
        <f t="shared" si="15"/>
        <v>23.6530612244898</v>
      </c>
      <c r="O85" s="16">
        <f t="shared" si="16"/>
        <v>528846.439606978</v>
      </c>
      <c r="P85" s="16">
        <f t="shared" si="17"/>
        <v>537114.567582998</v>
      </c>
      <c r="Q85" s="16">
        <f t="shared" si="18"/>
        <v>5.09465020576132</v>
      </c>
      <c r="R85" s="16">
        <f t="shared" si="19"/>
        <v>0.984606397824534</v>
      </c>
      <c r="S85" s="16">
        <v>12.2864538395168</v>
      </c>
    </row>
    <row r="86" spans="1:19">
      <c r="A86" s="8" t="s">
        <v>104</v>
      </c>
      <c r="B86" s="7">
        <v>130.6</v>
      </c>
      <c r="C86" s="7">
        <v>2.3</v>
      </c>
      <c r="D86" s="7">
        <v>396</v>
      </c>
      <c r="E86" s="7">
        <v>324.3</v>
      </c>
      <c r="F86" s="7">
        <v>60.75</v>
      </c>
      <c r="G86" s="8" t="s">
        <v>20</v>
      </c>
      <c r="H86" s="7">
        <v>1250</v>
      </c>
      <c r="I86" s="14">
        <f t="shared" si="10"/>
        <v>13396.0338182457</v>
      </c>
      <c r="J86" s="15">
        <f t="shared" si="11"/>
        <v>927.05257614781</v>
      </c>
      <c r="K86" s="15">
        <f t="shared" si="12"/>
        <v>12468.9812420979</v>
      </c>
      <c r="L86" s="15">
        <f t="shared" si="13"/>
        <v>0.0692035111829251</v>
      </c>
      <c r="M86" s="15">
        <f t="shared" si="14"/>
        <v>0.0743487024439403</v>
      </c>
      <c r="N86" s="16">
        <f t="shared" si="15"/>
        <v>56.7826086956522</v>
      </c>
      <c r="O86" s="16">
        <f t="shared" si="16"/>
        <v>300643.150444735</v>
      </c>
      <c r="P86" s="16">
        <f t="shared" si="17"/>
        <v>757490.610457447</v>
      </c>
      <c r="Q86" s="16">
        <f t="shared" si="18"/>
        <v>5.33827160493827</v>
      </c>
      <c r="R86" s="16">
        <f t="shared" si="19"/>
        <v>0.396893567120491</v>
      </c>
      <c r="S86" s="16">
        <v>12.1286370597243</v>
      </c>
    </row>
    <row r="87" spans="1:19">
      <c r="A87" s="8" t="s">
        <v>105</v>
      </c>
      <c r="B87" s="7">
        <v>133.1</v>
      </c>
      <c r="C87" s="7">
        <v>4.5</v>
      </c>
      <c r="D87" s="7">
        <v>397</v>
      </c>
      <c r="E87" s="7">
        <v>324.3</v>
      </c>
      <c r="F87" s="7">
        <v>60.75</v>
      </c>
      <c r="G87" s="8" t="s">
        <v>20</v>
      </c>
      <c r="H87" s="7">
        <v>1535</v>
      </c>
      <c r="I87" s="14">
        <f t="shared" si="10"/>
        <v>13913.8075574655</v>
      </c>
      <c r="J87" s="15">
        <f t="shared" si="11"/>
        <v>1818.03966863241</v>
      </c>
      <c r="K87" s="15">
        <f t="shared" si="12"/>
        <v>12095.7678888331</v>
      </c>
      <c r="L87" s="15">
        <f t="shared" si="13"/>
        <v>0.130664425328848</v>
      </c>
      <c r="M87" s="15">
        <f t="shared" si="14"/>
        <v>0.150303782723116</v>
      </c>
      <c r="N87" s="16">
        <f t="shared" si="15"/>
        <v>29.5777777777778</v>
      </c>
      <c r="O87" s="16">
        <f t="shared" si="16"/>
        <v>589590.264537491</v>
      </c>
      <c r="P87" s="16">
        <f t="shared" si="17"/>
        <v>734817.899246608</v>
      </c>
      <c r="Q87" s="16">
        <f t="shared" si="18"/>
        <v>5.33827160493827</v>
      </c>
      <c r="R87" s="16">
        <f t="shared" si="19"/>
        <v>0.802362415425624</v>
      </c>
      <c r="S87" s="16">
        <v>11.9308790383171</v>
      </c>
    </row>
    <row r="88" spans="1:19">
      <c r="A88" s="8" t="s">
        <v>106</v>
      </c>
      <c r="B88" s="7">
        <v>141.8</v>
      </c>
      <c r="C88" s="7">
        <v>4.3</v>
      </c>
      <c r="D88" s="7">
        <v>419</v>
      </c>
      <c r="E88" s="7">
        <v>433</v>
      </c>
      <c r="F88" s="7">
        <v>60.75</v>
      </c>
      <c r="G88" s="8" t="s">
        <v>20</v>
      </c>
      <c r="H88" s="7">
        <v>1618</v>
      </c>
      <c r="I88" s="14">
        <f t="shared" si="10"/>
        <v>15792.1893669917</v>
      </c>
      <c r="J88" s="15">
        <f t="shared" si="11"/>
        <v>1857.46665643496</v>
      </c>
      <c r="K88" s="15">
        <f t="shared" si="12"/>
        <v>13934.7227105567</v>
      </c>
      <c r="L88" s="15">
        <f t="shared" si="13"/>
        <v>0.117619325178393</v>
      </c>
      <c r="M88" s="15">
        <f t="shared" si="14"/>
        <v>0.133297712126541</v>
      </c>
      <c r="N88" s="16">
        <f t="shared" si="15"/>
        <v>32.9767441860465</v>
      </c>
      <c r="O88" s="16">
        <f t="shared" si="16"/>
        <v>804283.062236339</v>
      </c>
      <c r="P88" s="16">
        <f t="shared" si="17"/>
        <v>846534.404666322</v>
      </c>
      <c r="Q88" s="16">
        <f t="shared" si="18"/>
        <v>7.12757201646091</v>
      </c>
      <c r="R88" s="16">
        <f t="shared" si="19"/>
        <v>0.950089042811393</v>
      </c>
      <c r="S88" s="16">
        <v>11.8194640338505</v>
      </c>
    </row>
    <row r="89" spans="1:19">
      <c r="A89" s="8" t="s">
        <v>107</v>
      </c>
      <c r="B89" s="7">
        <v>159.8</v>
      </c>
      <c r="C89" s="7">
        <v>6.3</v>
      </c>
      <c r="D89" s="7">
        <v>476</v>
      </c>
      <c r="E89" s="7">
        <v>482.5</v>
      </c>
      <c r="F89" s="7">
        <v>60.75</v>
      </c>
      <c r="G89" s="8" t="s">
        <v>20</v>
      </c>
      <c r="H89" s="7">
        <v>3123</v>
      </c>
      <c r="I89" s="14">
        <f t="shared" si="10"/>
        <v>20055.9589164438</v>
      </c>
      <c r="J89" s="15">
        <f t="shared" si="11"/>
        <v>3038.07717565401</v>
      </c>
      <c r="K89" s="15">
        <f t="shared" si="12"/>
        <v>17017.8817407898</v>
      </c>
      <c r="L89" s="15">
        <f t="shared" si="13"/>
        <v>0.151480025877152</v>
      </c>
      <c r="M89" s="15">
        <f t="shared" si="14"/>
        <v>0.178522640004726</v>
      </c>
      <c r="N89" s="16">
        <f t="shared" si="15"/>
        <v>25.3650793650794</v>
      </c>
      <c r="O89" s="16">
        <f t="shared" si="16"/>
        <v>1465872.23725306</v>
      </c>
      <c r="P89" s="16">
        <f t="shared" si="17"/>
        <v>1033836.31575298</v>
      </c>
      <c r="Q89" s="16">
        <f t="shared" si="18"/>
        <v>7.94238683127572</v>
      </c>
      <c r="R89" s="16">
        <f t="shared" si="19"/>
        <v>1.41789586505811</v>
      </c>
      <c r="S89" s="16">
        <v>11.9148936170213</v>
      </c>
    </row>
    <row r="90" spans="1:19">
      <c r="A90" s="8" t="s">
        <v>108</v>
      </c>
      <c r="B90" s="7">
        <v>165.7</v>
      </c>
      <c r="C90" s="7">
        <v>5.1</v>
      </c>
      <c r="D90" s="7">
        <v>497</v>
      </c>
      <c r="E90" s="7">
        <v>373.3</v>
      </c>
      <c r="F90" s="7">
        <v>60.75</v>
      </c>
      <c r="G90" s="9" t="s">
        <v>20</v>
      </c>
      <c r="H90" s="7">
        <v>2309</v>
      </c>
      <c r="I90" s="14">
        <f t="shared" si="10"/>
        <v>21564.2768193404</v>
      </c>
      <c r="J90" s="15">
        <f t="shared" si="11"/>
        <v>2573.15287884925</v>
      </c>
      <c r="K90" s="15">
        <f t="shared" si="12"/>
        <v>18991.1239404912</v>
      </c>
      <c r="L90" s="15">
        <f t="shared" si="13"/>
        <v>0.119324793518764</v>
      </c>
      <c r="M90" s="15">
        <f t="shared" si="14"/>
        <v>0.135492395653477</v>
      </c>
      <c r="N90" s="16">
        <f t="shared" si="15"/>
        <v>32.4901960784314</v>
      </c>
      <c r="O90" s="16">
        <f t="shared" si="16"/>
        <v>960557.969674427</v>
      </c>
      <c r="P90" s="16">
        <f t="shared" si="17"/>
        <v>1153710.77938484</v>
      </c>
      <c r="Q90" s="16">
        <f t="shared" si="18"/>
        <v>6.14485596707819</v>
      </c>
      <c r="R90" s="16">
        <f t="shared" si="19"/>
        <v>0.83258125592499</v>
      </c>
      <c r="S90" s="16">
        <v>11.997585998793</v>
      </c>
    </row>
    <row r="91" spans="1:19">
      <c r="A91" s="8">
        <v>1</v>
      </c>
      <c r="B91" s="7">
        <v>101.3</v>
      </c>
      <c r="C91" s="7">
        <v>1.5</v>
      </c>
      <c r="D91" s="7">
        <v>310</v>
      </c>
      <c r="E91" s="7">
        <v>264.9</v>
      </c>
      <c r="F91" s="7">
        <v>21.9</v>
      </c>
      <c r="G91" s="9" t="s">
        <v>20</v>
      </c>
      <c r="H91" s="7">
        <v>370</v>
      </c>
      <c r="I91" s="14">
        <f t="shared" si="10"/>
        <v>8059.51247935396</v>
      </c>
      <c r="J91" s="15">
        <f t="shared" si="11"/>
        <v>470.296420242391</v>
      </c>
      <c r="K91" s="15">
        <f t="shared" si="12"/>
        <v>7589.21605911157</v>
      </c>
      <c r="L91" s="15">
        <f t="shared" si="13"/>
        <v>0.0583529613543188</v>
      </c>
      <c r="M91" s="15">
        <f t="shared" si="14"/>
        <v>0.0619690382483915</v>
      </c>
      <c r="N91" s="16">
        <f t="shared" si="15"/>
        <v>67.5333333333333</v>
      </c>
      <c r="O91" s="16">
        <f t="shared" si="16"/>
        <v>124581.521722209</v>
      </c>
      <c r="P91" s="16">
        <f t="shared" si="17"/>
        <v>166203.831694543</v>
      </c>
      <c r="Q91" s="16">
        <f t="shared" si="18"/>
        <v>12.0958904109589</v>
      </c>
      <c r="R91" s="16">
        <f t="shared" si="19"/>
        <v>0.749570695525064</v>
      </c>
      <c r="S91" s="16">
        <v>12.2408687068115</v>
      </c>
    </row>
    <row r="92" spans="1:19">
      <c r="A92" s="8">
        <v>2</v>
      </c>
      <c r="B92" s="7">
        <v>102.3</v>
      </c>
      <c r="C92" s="7">
        <v>1.52</v>
      </c>
      <c r="D92" s="7">
        <v>310</v>
      </c>
      <c r="E92" s="7">
        <v>264.9</v>
      </c>
      <c r="F92" s="7">
        <v>21.9</v>
      </c>
      <c r="G92" s="9" t="s">
        <v>20</v>
      </c>
      <c r="H92" s="7">
        <v>485</v>
      </c>
      <c r="I92" s="14">
        <f t="shared" si="10"/>
        <v>8219.41954542168</v>
      </c>
      <c r="J92" s="15">
        <f t="shared" si="11"/>
        <v>481.246755595745</v>
      </c>
      <c r="K92" s="15">
        <f t="shared" si="12"/>
        <v>7738.17278982594</v>
      </c>
      <c r="L92" s="15">
        <f t="shared" si="13"/>
        <v>0.0585499685149672</v>
      </c>
      <c r="M92" s="15">
        <f t="shared" si="14"/>
        <v>0.0621912651302493</v>
      </c>
      <c r="N92" s="16">
        <f t="shared" si="15"/>
        <v>67.3026315789474</v>
      </c>
      <c r="O92" s="16">
        <f t="shared" si="16"/>
        <v>127482.265557313</v>
      </c>
      <c r="P92" s="16">
        <f t="shared" si="17"/>
        <v>169465.984097188</v>
      </c>
      <c r="Q92" s="16">
        <f t="shared" si="18"/>
        <v>12.0958904109589</v>
      </c>
      <c r="R92" s="16">
        <f t="shared" si="19"/>
        <v>0.752258727534385</v>
      </c>
      <c r="S92" s="16">
        <v>12.1212121212121</v>
      </c>
    </row>
    <row r="93" spans="1:19">
      <c r="A93" s="8">
        <v>3</v>
      </c>
      <c r="B93" s="7">
        <v>104.2</v>
      </c>
      <c r="C93" s="7">
        <v>2.44</v>
      </c>
      <c r="D93" s="7">
        <v>310</v>
      </c>
      <c r="E93" s="7">
        <v>264.9</v>
      </c>
      <c r="F93" s="7">
        <v>21.9</v>
      </c>
      <c r="G93" s="9" t="s">
        <v>20</v>
      </c>
      <c r="H93" s="7">
        <v>450</v>
      </c>
      <c r="I93" s="14">
        <f t="shared" si="10"/>
        <v>8527.57051483067</v>
      </c>
      <c r="J93" s="15">
        <f t="shared" si="11"/>
        <v>780.039862967485</v>
      </c>
      <c r="K93" s="15">
        <f t="shared" si="12"/>
        <v>7747.53065186319</v>
      </c>
      <c r="L93" s="15">
        <f t="shared" si="13"/>
        <v>0.0914726957239325</v>
      </c>
      <c r="M93" s="15">
        <f t="shared" si="14"/>
        <v>0.100682384880903</v>
      </c>
      <c r="N93" s="16">
        <f t="shared" si="15"/>
        <v>42.7049180327869</v>
      </c>
      <c r="O93" s="16">
        <f t="shared" si="16"/>
        <v>206632.559700087</v>
      </c>
      <c r="P93" s="16">
        <f t="shared" si="17"/>
        <v>169670.921275804</v>
      </c>
      <c r="Q93" s="16">
        <f t="shared" si="18"/>
        <v>12.0958904109589</v>
      </c>
      <c r="R93" s="16">
        <f t="shared" si="19"/>
        <v>1.21784309383339</v>
      </c>
      <c r="S93" s="16">
        <v>11.9001919385797</v>
      </c>
    </row>
    <row r="94" spans="1:19">
      <c r="A94" s="8">
        <v>4</v>
      </c>
      <c r="B94" s="7">
        <v>105</v>
      </c>
      <c r="C94" s="7">
        <v>2.06</v>
      </c>
      <c r="D94" s="7">
        <v>310</v>
      </c>
      <c r="E94" s="7">
        <v>264.9</v>
      </c>
      <c r="F94" s="7">
        <v>18.4</v>
      </c>
      <c r="G94" s="9" t="s">
        <v>20</v>
      </c>
      <c r="H94" s="7">
        <v>539</v>
      </c>
      <c r="I94" s="14">
        <f t="shared" si="10"/>
        <v>8659.01475145687</v>
      </c>
      <c r="J94" s="15">
        <f t="shared" si="11"/>
        <v>666.1948283867</v>
      </c>
      <c r="K94" s="15">
        <f t="shared" si="12"/>
        <v>7992.81992307017</v>
      </c>
      <c r="L94" s="15">
        <f t="shared" si="13"/>
        <v>0.0769365623582768</v>
      </c>
      <c r="M94" s="15">
        <f t="shared" si="14"/>
        <v>0.0833491602211406</v>
      </c>
      <c r="N94" s="16">
        <f t="shared" si="15"/>
        <v>50.9708737864078</v>
      </c>
      <c r="O94" s="16">
        <f t="shared" si="16"/>
        <v>176475.010039637</v>
      </c>
      <c r="P94" s="16">
        <f t="shared" si="17"/>
        <v>147067.886584491</v>
      </c>
      <c r="Q94" s="16">
        <f t="shared" si="18"/>
        <v>14.3967391304348</v>
      </c>
      <c r="R94" s="16">
        <f t="shared" si="19"/>
        <v>1.19995611644457</v>
      </c>
      <c r="S94" s="16">
        <v>11.8095238095238</v>
      </c>
    </row>
    <row r="95" spans="1:19">
      <c r="A95" s="8">
        <v>5</v>
      </c>
      <c r="B95" s="7">
        <v>105.1</v>
      </c>
      <c r="C95" s="7">
        <v>2.85</v>
      </c>
      <c r="D95" s="7">
        <v>310</v>
      </c>
      <c r="E95" s="7">
        <v>264.9</v>
      </c>
      <c r="F95" s="7">
        <v>18.4</v>
      </c>
      <c r="G95" s="9" t="s">
        <v>20</v>
      </c>
      <c r="H95" s="7">
        <v>550</v>
      </c>
      <c r="I95" s="14">
        <f t="shared" si="10"/>
        <v>8675.51596686985</v>
      </c>
      <c r="J95" s="15">
        <f t="shared" si="11"/>
        <v>915.499369164235</v>
      </c>
      <c r="K95" s="15">
        <f t="shared" si="12"/>
        <v>7760.01659770561</v>
      </c>
      <c r="L95" s="15">
        <f t="shared" si="13"/>
        <v>0.105526792027166</v>
      </c>
      <c r="M95" s="15">
        <f t="shared" si="14"/>
        <v>0.117976470492978</v>
      </c>
      <c r="N95" s="16">
        <f t="shared" si="15"/>
        <v>36.8771929824561</v>
      </c>
      <c r="O95" s="16">
        <f t="shared" si="16"/>
        <v>242515.782891606</v>
      </c>
      <c r="P95" s="16">
        <f t="shared" si="17"/>
        <v>142784.305397783</v>
      </c>
      <c r="Q95" s="16">
        <f t="shared" si="18"/>
        <v>14.3967391304348</v>
      </c>
      <c r="R95" s="16">
        <f t="shared" si="19"/>
        <v>1.69847646921684</v>
      </c>
      <c r="S95" s="16">
        <v>11.7982873453853</v>
      </c>
    </row>
    <row r="96" spans="1:19">
      <c r="A96" s="8">
        <v>6</v>
      </c>
      <c r="B96" s="7">
        <v>107.9</v>
      </c>
      <c r="C96" s="7">
        <v>4.32</v>
      </c>
      <c r="D96" s="7">
        <v>310</v>
      </c>
      <c r="E96" s="7">
        <v>264.9</v>
      </c>
      <c r="F96" s="7">
        <v>18.4</v>
      </c>
      <c r="G96" s="9" t="s">
        <v>20</v>
      </c>
      <c r="H96" s="7">
        <v>686</v>
      </c>
      <c r="I96" s="14">
        <f t="shared" si="10"/>
        <v>9143.92743152009</v>
      </c>
      <c r="J96" s="15">
        <f t="shared" si="11"/>
        <v>1405.75464169415</v>
      </c>
      <c r="K96" s="15">
        <f t="shared" si="12"/>
        <v>7738.17278982594</v>
      </c>
      <c r="L96" s="15">
        <f t="shared" si="13"/>
        <v>0.153736417116387</v>
      </c>
      <c r="M96" s="15">
        <f t="shared" si="14"/>
        <v>0.181664933037218</v>
      </c>
      <c r="N96" s="16">
        <f t="shared" si="15"/>
        <v>24.9768518518519</v>
      </c>
      <c r="O96" s="16">
        <f t="shared" si="16"/>
        <v>372384.40458478</v>
      </c>
      <c r="P96" s="16">
        <f t="shared" si="17"/>
        <v>142382.379332797</v>
      </c>
      <c r="Q96" s="16">
        <f t="shared" si="18"/>
        <v>14.3967391304348</v>
      </c>
      <c r="R96" s="16">
        <f t="shared" si="19"/>
        <v>2.61538265008473</v>
      </c>
      <c r="S96" s="16">
        <v>11.4921223354958</v>
      </c>
    </row>
    <row r="97" spans="1:19">
      <c r="A97" s="8">
        <v>7</v>
      </c>
      <c r="B97" s="7">
        <v>107.9</v>
      </c>
      <c r="C97" s="7">
        <v>4.32</v>
      </c>
      <c r="D97" s="7">
        <v>424</v>
      </c>
      <c r="E97" s="7">
        <v>264.9</v>
      </c>
      <c r="F97" s="7">
        <v>18.4</v>
      </c>
      <c r="G97" s="9" t="s">
        <v>20</v>
      </c>
      <c r="H97" s="7">
        <v>727</v>
      </c>
      <c r="I97" s="14">
        <f t="shared" si="10"/>
        <v>9143.92743152009</v>
      </c>
      <c r="J97" s="15">
        <f t="shared" si="11"/>
        <v>1405.75464169415</v>
      </c>
      <c r="K97" s="15">
        <f t="shared" si="12"/>
        <v>7738.17278982594</v>
      </c>
      <c r="L97" s="15">
        <f t="shared" si="13"/>
        <v>0.153736417116387</v>
      </c>
      <c r="M97" s="15">
        <f t="shared" si="14"/>
        <v>0.181664933037218</v>
      </c>
      <c r="N97" s="16">
        <f t="shared" si="15"/>
        <v>24.9768518518519</v>
      </c>
      <c r="O97" s="16">
        <f t="shared" si="16"/>
        <v>372384.40458478</v>
      </c>
      <c r="P97" s="16">
        <f t="shared" si="17"/>
        <v>142382.379332797</v>
      </c>
      <c r="Q97" s="16">
        <f t="shared" si="18"/>
        <v>14.3967391304348</v>
      </c>
      <c r="R97" s="16">
        <f t="shared" si="19"/>
        <v>2.61538265008473</v>
      </c>
      <c r="S97" s="16">
        <v>15.7182576459685</v>
      </c>
    </row>
    <row r="98" spans="1:19">
      <c r="A98" s="8">
        <v>8</v>
      </c>
      <c r="B98" s="7">
        <v>107.9</v>
      </c>
      <c r="C98" s="7">
        <v>4.32</v>
      </c>
      <c r="D98" s="7">
        <v>424</v>
      </c>
      <c r="E98" s="7">
        <v>264.9</v>
      </c>
      <c r="F98" s="7">
        <v>18.4</v>
      </c>
      <c r="G98" s="9" t="s">
        <v>20</v>
      </c>
      <c r="H98" s="7">
        <v>734</v>
      </c>
      <c r="I98" s="14">
        <f t="shared" si="10"/>
        <v>9143.92743152009</v>
      </c>
      <c r="J98" s="15">
        <f t="shared" si="11"/>
        <v>1405.75464169415</v>
      </c>
      <c r="K98" s="15">
        <f t="shared" si="12"/>
        <v>7738.17278982594</v>
      </c>
      <c r="L98" s="15">
        <f t="shared" si="13"/>
        <v>0.153736417116387</v>
      </c>
      <c r="M98" s="15">
        <f t="shared" si="14"/>
        <v>0.181664933037218</v>
      </c>
      <c r="N98" s="16">
        <f t="shared" si="15"/>
        <v>24.9768518518519</v>
      </c>
      <c r="O98" s="16">
        <f t="shared" si="16"/>
        <v>372384.40458478</v>
      </c>
      <c r="P98" s="16">
        <f t="shared" si="17"/>
        <v>142382.379332797</v>
      </c>
      <c r="Q98" s="16">
        <f t="shared" si="18"/>
        <v>14.3967391304348</v>
      </c>
      <c r="R98" s="16">
        <f t="shared" si="19"/>
        <v>2.61538265008473</v>
      </c>
      <c r="S98" s="16">
        <v>15.7182576459685</v>
      </c>
    </row>
    <row r="99" spans="1:19">
      <c r="A99" s="5">
        <v>9</v>
      </c>
      <c r="B99" s="6">
        <v>107.9</v>
      </c>
      <c r="C99" s="6">
        <v>4.32</v>
      </c>
      <c r="D99" s="6">
        <v>424</v>
      </c>
      <c r="E99" s="6">
        <v>264.9</v>
      </c>
      <c r="F99" s="6">
        <v>18.4</v>
      </c>
      <c r="G99" s="18" t="s">
        <v>20</v>
      </c>
      <c r="H99" s="6">
        <v>803</v>
      </c>
      <c r="I99" s="14">
        <f t="shared" si="10"/>
        <v>9143.92743152009</v>
      </c>
      <c r="J99" s="15">
        <f t="shared" si="11"/>
        <v>1405.75464169415</v>
      </c>
      <c r="K99" s="15">
        <f t="shared" si="12"/>
        <v>7738.17278982594</v>
      </c>
      <c r="L99" s="15">
        <f t="shared" si="13"/>
        <v>0.153736417116387</v>
      </c>
      <c r="M99" s="15">
        <f t="shared" si="14"/>
        <v>0.181664933037218</v>
      </c>
      <c r="N99" s="16">
        <f t="shared" si="15"/>
        <v>24.9768518518519</v>
      </c>
      <c r="O99" s="16">
        <f t="shared" si="16"/>
        <v>372384.40458478</v>
      </c>
      <c r="P99" s="16">
        <f t="shared" si="17"/>
        <v>142382.379332797</v>
      </c>
      <c r="Q99" s="16">
        <f t="shared" si="18"/>
        <v>14.3967391304348</v>
      </c>
      <c r="R99" s="16">
        <f t="shared" si="19"/>
        <v>2.61538265008473</v>
      </c>
      <c r="S99" s="16">
        <v>15.7182576459685</v>
      </c>
    </row>
    <row r="100" spans="1:19">
      <c r="A100" s="5">
        <v>10</v>
      </c>
      <c r="B100" s="6">
        <v>153.9</v>
      </c>
      <c r="C100" s="6">
        <v>1.8</v>
      </c>
      <c r="D100" s="6">
        <v>470</v>
      </c>
      <c r="E100" s="6">
        <v>356.1</v>
      </c>
      <c r="F100" s="6">
        <v>18.4</v>
      </c>
      <c r="G100" s="18" t="s">
        <v>20</v>
      </c>
      <c r="H100" s="6">
        <v>981</v>
      </c>
      <c r="I100" s="14">
        <f t="shared" si="10"/>
        <v>18602.3204336829</v>
      </c>
      <c r="J100" s="15">
        <f t="shared" si="11"/>
        <v>860.105236699813</v>
      </c>
      <c r="K100" s="15">
        <f t="shared" si="12"/>
        <v>17742.2151969831</v>
      </c>
      <c r="L100" s="15">
        <f t="shared" si="13"/>
        <v>0.0462364488218597</v>
      </c>
      <c r="M100" s="15">
        <f t="shared" si="14"/>
        <v>0.0484778945103804</v>
      </c>
      <c r="N100" s="16">
        <f t="shared" si="15"/>
        <v>85.5</v>
      </c>
      <c r="O100" s="16">
        <f t="shared" si="16"/>
        <v>306283.474788803</v>
      </c>
      <c r="P100" s="16">
        <f t="shared" si="17"/>
        <v>326456.759624488</v>
      </c>
      <c r="Q100" s="16">
        <f t="shared" si="18"/>
        <v>19.3532608695652</v>
      </c>
      <c r="R100" s="16">
        <f t="shared" si="19"/>
        <v>0.938205338866655</v>
      </c>
      <c r="S100" s="16">
        <v>12.2157244964263</v>
      </c>
    </row>
    <row r="101" spans="1:19">
      <c r="A101" s="5">
        <v>11</v>
      </c>
      <c r="B101" s="6">
        <v>154.2</v>
      </c>
      <c r="C101" s="6">
        <v>2.65</v>
      </c>
      <c r="D101" s="6">
        <v>470</v>
      </c>
      <c r="E101" s="6">
        <v>356.1</v>
      </c>
      <c r="F101" s="6">
        <v>18.4</v>
      </c>
      <c r="G101" s="18" t="s">
        <v>20</v>
      </c>
      <c r="H101" s="6">
        <v>1294</v>
      </c>
      <c r="I101" s="14">
        <f t="shared" si="10"/>
        <v>18674.9147859257</v>
      </c>
      <c r="J101" s="15">
        <f t="shared" si="11"/>
        <v>1261.68717162657</v>
      </c>
      <c r="K101" s="15">
        <f t="shared" si="12"/>
        <v>17413.2276142991</v>
      </c>
      <c r="L101" s="15">
        <f t="shared" si="13"/>
        <v>0.0675605316591556</v>
      </c>
      <c r="M101" s="15">
        <f t="shared" si="14"/>
        <v>0.0724556756261839</v>
      </c>
      <c r="N101" s="16">
        <f t="shared" si="15"/>
        <v>58.188679245283</v>
      </c>
      <c r="O101" s="16">
        <f t="shared" si="16"/>
        <v>449286.80181622</v>
      </c>
      <c r="P101" s="16">
        <f t="shared" si="17"/>
        <v>320403.388103104</v>
      </c>
      <c r="Q101" s="16">
        <f t="shared" si="18"/>
        <v>19.3532608695652</v>
      </c>
      <c r="R101" s="16">
        <f t="shared" si="19"/>
        <v>1.40225359187414</v>
      </c>
      <c r="S101" s="16">
        <v>12.1919584954604</v>
      </c>
    </row>
    <row r="102" spans="1:19">
      <c r="A102" s="5">
        <v>12</v>
      </c>
      <c r="B102" s="6">
        <v>155.6</v>
      </c>
      <c r="C102" s="6">
        <v>2.63</v>
      </c>
      <c r="D102" s="6">
        <v>470</v>
      </c>
      <c r="E102" s="6">
        <v>356.1</v>
      </c>
      <c r="F102" s="6">
        <v>23</v>
      </c>
      <c r="G102" s="5" t="s">
        <v>20</v>
      </c>
      <c r="H102" s="6">
        <v>1300</v>
      </c>
      <c r="I102" s="14">
        <f t="shared" si="10"/>
        <v>19015.5576773544</v>
      </c>
      <c r="J102" s="15">
        <f t="shared" si="11"/>
        <v>1263.89759621763</v>
      </c>
      <c r="K102" s="15">
        <f t="shared" si="12"/>
        <v>17751.6600811368</v>
      </c>
      <c r="L102" s="15">
        <f t="shared" si="13"/>
        <v>0.0664665016752465</v>
      </c>
      <c r="M102" s="15">
        <f t="shared" si="14"/>
        <v>0.0711988394573115</v>
      </c>
      <c r="N102" s="16">
        <f t="shared" si="15"/>
        <v>59.1634980988593</v>
      </c>
      <c r="O102" s="16">
        <f t="shared" si="16"/>
        <v>450073.934013096</v>
      </c>
      <c r="P102" s="16">
        <f t="shared" si="17"/>
        <v>408288.181866147</v>
      </c>
      <c r="Q102" s="16">
        <f t="shared" si="18"/>
        <v>15.4826086956522</v>
      </c>
      <c r="R102" s="16">
        <f t="shared" si="19"/>
        <v>1.10234377090211</v>
      </c>
      <c r="S102" s="16">
        <v>12.0822622107969</v>
      </c>
    </row>
    <row r="103" spans="1:19">
      <c r="A103" s="5">
        <v>13</v>
      </c>
      <c r="B103" s="6">
        <v>159.3</v>
      </c>
      <c r="C103" s="6">
        <v>5.25</v>
      </c>
      <c r="D103" s="6">
        <v>470</v>
      </c>
      <c r="E103" s="6">
        <v>356.1</v>
      </c>
      <c r="F103" s="6">
        <v>21.9</v>
      </c>
      <c r="G103" s="5" t="s">
        <v>20</v>
      </c>
      <c r="H103" s="6">
        <v>1577</v>
      </c>
      <c r="I103" s="14">
        <f t="shared" si="10"/>
        <v>19930.6486394737</v>
      </c>
      <c r="J103" s="15">
        <f t="shared" si="11"/>
        <v>2540.80232849892</v>
      </c>
      <c r="K103" s="15">
        <f t="shared" si="12"/>
        <v>17389.8463109748</v>
      </c>
      <c r="L103" s="15">
        <f t="shared" si="13"/>
        <v>0.127482169519898</v>
      </c>
      <c r="M103" s="15">
        <f t="shared" si="14"/>
        <v>0.146108383194589</v>
      </c>
      <c r="N103" s="16">
        <f t="shared" si="15"/>
        <v>30.3428571428571</v>
      </c>
      <c r="O103" s="16">
        <f t="shared" si="16"/>
        <v>904779.709178464</v>
      </c>
      <c r="P103" s="16">
        <f t="shared" si="17"/>
        <v>380837.634210348</v>
      </c>
      <c r="Q103" s="16">
        <f t="shared" si="18"/>
        <v>16.2602739726027</v>
      </c>
      <c r="R103" s="16">
        <f t="shared" si="19"/>
        <v>2.37576234043805</v>
      </c>
      <c r="S103" s="16">
        <v>11.8016321406152</v>
      </c>
    </row>
    <row r="104" spans="1:19">
      <c r="A104" s="5">
        <v>14</v>
      </c>
      <c r="B104" s="6">
        <v>160.2</v>
      </c>
      <c r="C104" s="6">
        <v>5.4</v>
      </c>
      <c r="D104" s="6">
        <v>470</v>
      </c>
      <c r="E104" s="6">
        <v>356.1</v>
      </c>
      <c r="F104" s="6">
        <v>21.9</v>
      </c>
      <c r="G104" s="5" t="s">
        <v>20</v>
      </c>
      <c r="H104" s="6">
        <v>1775</v>
      </c>
      <c r="I104" s="14">
        <f t="shared" si="10"/>
        <v>20156.4898813586</v>
      </c>
      <c r="J104" s="15">
        <f t="shared" si="11"/>
        <v>2626.12013098878</v>
      </c>
      <c r="K104" s="15">
        <f t="shared" si="12"/>
        <v>17530.3697503699</v>
      </c>
      <c r="L104" s="15">
        <f t="shared" si="13"/>
        <v>0.130286579977276</v>
      </c>
      <c r="M104" s="15">
        <f t="shared" si="14"/>
        <v>0.149804035418784</v>
      </c>
      <c r="N104" s="16">
        <f t="shared" si="15"/>
        <v>29.6666666666667</v>
      </c>
      <c r="O104" s="16">
        <f t="shared" si="16"/>
        <v>935161.378645106</v>
      </c>
      <c r="P104" s="16">
        <f t="shared" si="17"/>
        <v>383915.0975331</v>
      </c>
      <c r="Q104" s="16">
        <f t="shared" si="18"/>
        <v>16.2602739726027</v>
      </c>
      <c r="R104" s="16">
        <f t="shared" si="19"/>
        <v>2.43585465811091</v>
      </c>
      <c r="S104" s="16">
        <v>11.7353308364544</v>
      </c>
    </row>
    <row r="105" spans="1:19">
      <c r="A105" s="5">
        <v>15</v>
      </c>
      <c r="B105" s="6">
        <v>159.8</v>
      </c>
      <c r="C105" s="6">
        <v>5.08</v>
      </c>
      <c r="D105" s="6">
        <v>470</v>
      </c>
      <c r="E105" s="6">
        <v>356.1</v>
      </c>
      <c r="F105" s="6">
        <v>21.9</v>
      </c>
      <c r="G105" s="5" t="s">
        <v>20</v>
      </c>
      <c r="H105" s="6">
        <v>1746</v>
      </c>
      <c r="I105" s="14">
        <f t="shared" si="10"/>
        <v>20055.9589164438</v>
      </c>
      <c r="J105" s="15">
        <f t="shared" si="11"/>
        <v>2469.22145404614</v>
      </c>
      <c r="K105" s="15">
        <f t="shared" si="12"/>
        <v>17586.7374623976</v>
      </c>
      <c r="L105" s="15">
        <f t="shared" si="13"/>
        <v>0.123116599128134</v>
      </c>
      <c r="M105" s="15">
        <f t="shared" si="14"/>
        <v>0.140402474269352</v>
      </c>
      <c r="N105" s="16">
        <f t="shared" si="15"/>
        <v>31.4566929133858</v>
      </c>
      <c r="O105" s="16">
        <f t="shared" si="16"/>
        <v>879289.75978583</v>
      </c>
      <c r="P105" s="16">
        <f t="shared" si="17"/>
        <v>385149.550426508</v>
      </c>
      <c r="Q105" s="16">
        <f t="shared" si="18"/>
        <v>16.2602739726027</v>
      </c>
      <c r="R105" s="16">
        <f t="shared" si="19"/>
        <v>2.28298269805097</v>
      </c>
      <c r="S105" s="16">
        <v>11.7647058823529</v>
      </c>
    </row>
    <row r="106" spans="1:19">
      <c r="A106" s="5">
        <v>16</v>
      </c>
      <c r="B106" s="6">
        <v>264.6</v>
      </c>
      <c r="C106" s="6">
        <v>4.55</v>
      </c>
      <c r="D106" s="6">
        <v>812</v>
      </c>
      <c r="E106" s="6">
        <v>323.4</v>
      </c>
      <c r="F106" s="6">
        <v>21.9</v>
      </c>
      <c r="G106" s="5" t="s">
        <v>20</v>
      </c>
      <c r="H106" s="6">
        <v>3579</v>
      </c>
      <c r="I106" s="14">
        <f t="shared" si="10"/>
        <v>54988.2072776517</v>
      </c>
      <c r="J106" s="15">
        <f t="shared" si="11"/>
        <v>3717.21882152542</v>
      </c>
      <c r="K106" s="15">
        <f t="shared" si="12"/>
        <v>51270.9884561263</v>
      </c>
      <c r="L106" s="15">
        <f t="shared" si="13"/>
        <v>0.0676002911452647</v>
      </c>
      <c r="M106" s="15">
        <f t="shared" si="14"/>
        <v>0.0725014073935073</v>
      </c>
      <c r="N106" s="16">
        <f t="shared" si="15"/>
        <v>58.1538461538462</v>
      </c>
      <c r="O106" s="16">
        <f t="shared" si="16"/>
        <v>1202148.56688132</v>
      </c>
      <c r="P106" s="16">
        <f t="shared" si="17"/>
        <v>1122834.64718917</v>
      </c>
      <c r="Q106" s="16">
        <f t="shared" si="18"/>
        <v>14.7671232876712</v>
      </c>
      <c r="R106" s="16">
        <f t="shared" si="19"/>
        <v>1.0706372215096</v>
      </c>
      <c r="S106" s="16">
        <v>12.2751322751323</v>
      </c>
    </row>
    <row r="107" spans="1:19">
      <c r="A107" s="5">
        <v>17</v>
      </c>
      <c r="B107" s="6">
        <v>265</v>
      </c>
      <c r="C107" s="6">
        <v>4.75</v>
      </c>
      <c r="D107" s="6">
        <v>812</v>
      </c>
      <c r="E107" s="6">
        <v>323.4</v>
      </c>
      <c r="F107" s="6">
        <v>21.9</v>
      </c>
      <c r="G107" s="5" t="s">
        <v>20</v>
      </c>
      <c r="H107" s="6">
        <v>3789</v>
      </c>
      <c r="I107" s="14">
        <f t="shared" si="10"/>
        <v>55154.5860245858</v>
      </c>
      <c r="J107" s="15">
        <f t="shared" si="11"/>
        <v>3883.59756845953</v>
      </c>
      <c r="K107" s="15">
        <f t="shared" si="12"/>
        <v>51270.9884561263</v>
      </c>
      <c r="L107" s="15">
        <f t="shared" si="13"/>
        <v>0.0704129583481666</v>
      </c>
      <c r="M107" s="15">
        <f t="shared" si="14"/>
        <v>0.0757464930051585</v>
      </c>
      <c r="N107" s="16">
        <f t="shared" si="15"/>
        <v>55.7894736842105</v>
      </c>
      <c r="O107" s="16">
        <f t="shared" si="16"/>
        <v>1255955.45363981</v>
      </c>
      <c r="P107" s="16">
        <f t="shared" si="17"/>
        <v>1122834.64718917</v>
      </c>
      <c r="Q107" s="16">
        <f t="shared" si="18"/>
        <v>14.7671232876712</v>
      </c>
      <c r="R107" s="16">
        <f t="shared" si="19"/>
        <v>1.1185578008159</v>
      </c>
      <c r="S107" s="16">
        <v>12.2566037735849</v>
      </c>
    </row>
    <row r="108" spans="1:19">
      <c r="A108" s="5">
        <v>18</v>
      </c>
      <c r="B108" s="6">
        <v>264.4</v>
      </c>
      <c r="C108" s="6">
        <v>4.5</v>
      </c>
      <c r="D108" s="6">
        <v>812</v>
      </c>
      <c r="E108" s="6">
        <v>323.4</v>
      </c>
      <c r="F108" s="6">
        <v>21.9</v>
      </c>
      <c r="G108" s="5" t="s">
        <v>20</v>
      </c>
      <c r="H108" s="6">
        <v>3357</v>
      </c>
      <c r="I108" s="14">
        <f t="shared" si="10"/>
        <v>54905.1121519642</v>
      </c>
      <c r="J108" s="15">
        <f t="shared" si="11"/>
        <v>3674.24968800594</v>
      </c>
      <c r="K108" s="15">
        <f t="shared" si="12"/>
        <v>51230.8624639583</v>
      </c>
      <c r="L108" s="15">
        <f t="shared" si="13"/>
        <v>0.0669199924013723</v>
      </c>
      <c r="M108" s="15">
        <f t="shared" si="14"/>
        <v>0.0717194579847418</v>
      </c>
      <c r="N108" s="16">
        <f t="shared" si="15"/>
        <v>58.7555555555556</v>
      </c>
      <c r="O108" s="16">
        <f t="shared" si="16"/>
        <v>1188252.34910112</v>
      </c>
      <c r="P108" s="16">
        <f t="shared" si="17"/>
        <v>1121955.88796069</v>
      </c>
      <c r="Q108" s="16">
        <f t="shared" si="18"/>
        <v>14.7671232876712</v>
      </c>
      <c r="R108" s="16">
        <f t="shared" si="19"/>
        <v>1.05909007818564</v>
      </c>
      <c r="S108" s="16">
        <v>12.2844175491679</v>
      </c>
    </row>
    <row r="109" spans="1:19">
      <c r="A109" s="5">
        <v>19</v>
      </c>
      <c r="B109" s="6">
        <v>111.3</v>
      </c>
      <c r="C109" s="6">
        <v>2</v>
      </c>
      <c r="D109" s="6">
        <v>399</v>
      </c>
      <c r="E109" s="6">
        <v>354.6</v>
      </c>
      <c r="F109" s="6">
        <v>42.7</v>
      </c>
      <c r="G109" s="5" t="s">
        <v>20</v>
      </c>
      <c r="H109" s="6">
        <v>840</v>
      </c>
      <c r="I109" s="14">
        <f t="shared" si="10"/>
        <v>9729.26897473693</v>
      </c>
      <c r="J109" s="15">
        <f t="shared" si="11"/>
        <v>686.752154074729</v>
      </c>
      <c r="K109" s="15">
        <f t="shared" si="12"/>
        <v>9042.51682066221</v>
      </c>
      <c r="L109" s="15">
        <f t="shared" si="13"/>
        <v>0.0705862029159593</v>
      </c>
      <c r="M109" s="15">
        <f t="shared" si="14"/>
        <v>0.0759470142765448</v>
      </c>
      <c r="N109" s="16">
        <f t="shared" si="15"/>
        <v>55.65</v>
      </c>
      <c r="O109" s="16">
        <f t="shared" si="16"/>
        <v>243522.313834899</v>
      </c>
      <c r="P109" s="16">
        <f t="shared" si="17"/>
        <v>386115.468242276</v>
      </c>
      <c r="Q109" s="16">
        <f t="shared" si="18"/>
        <v>8.30444964871194</v>
      </c>
      <c r="R109" s="16">
        <f t="shared" si="19"/>
        <v>0.630698156029573</v>
      </c>
      <c r="S109" s="16">
        <v>14.3396226415094</v>
      </c>
    </row>
    <row r="110" spans="1:19">
      <c r="A110" s="5">
        <v>20</v>
      </c>
      <c r="B110" s="6">
        <v>113.6</v>
      </c>
      <c r="C110" s="6">
        <v>3.2</v>
      </c>
      <c r="D110" s="6">
        <v>337</v>
      </c>
      <c r="E110" s="6">
        <v>354.6</v>
      </c>
      <c r="F110" s="6">
        <v>42.7</v>
      </c>
      <c r="G110" s="5" t="s">
        <v>20</v>
      </c>
      <c r="H110" s="6">
        <v>1141</v>
      </c>
      <c r="I110" s="14">
        <f t="shared" si="10"/>
        <v>10135.5318827175</v>
      </c>
      <c r="J110" s="15">
        <f t="shared" si="11"/>
        <v>1109.8618526602</v>
      </c>
      <c r="K110" s="15">
        <f t="shared" si="12"/>
        <v>9025.67003005733</v>
      </c>
      <c r="L110" s="15">
        <f t="shared" si="13"/>
        <v>0.109502082920056</v>
      </c>
      <c r="M110" s="15">
        <f t="shared" si="14"/>
        <v>0.12296725328581</v>
      </c>
      <c r="N110" s="16">
        <f t="shared" si="15"/>
        <v>35.5</v>
      </c>
      <c r="O110" s="16">
        <f t="shared" si="16"/>
        <v>393557.012953308</v>
      </c>
      <c r="P110" s="16">
        <f t="shared" si="17"/>
        <v>385396.110283448</v>
      </c>
      <c r="Q110" s="16">
        <f t="shared" si="18"/>
        <v>8.30444964871194</v>
      </c>
      <c r="R110" s="16">
        <f t="shared" si="19"/>
        <v>1.02117536335242</v>
      </c>
      <c r="S110" s="16">
        <v>11.8661971830986</v>
      </c>
    </row>
    <row r="111" spans="1:19">
      <c r="A111" s="5">
        <v>21</v>
      </c>
      <c r="B111" s="6">
        <v>113.6</v>
      </c>
      <c r="C111" s="6">
        <v>3.2</v>
      </c>
      <c r="D111" s="6">
        <v>338</v>
      </c>
      <c r="E111" s="6">
        <v>354.6</v>
      </c>
      <c r="F111" s="6">
        <v>42.7</v>
      </c>
      <c r="G111" s="5" t="s">
        <v>20</v>
      </c>
      <c r="H111" s="6">
        <v>1091</v>
      </c>
      <c r="I111" s="14">
        <f t="shared" si="10"/>
        <v>10135.5318827175</v>
      </c>
      <c r="J111" s="15">
        <f t="shared" si="11"/>
        <v>1109.8618526602</v>
      </c>
      <c r="K111" s="15">
        <f t="shared" si="12"/>
        <v>9025.67003005733</v>
      </c>
      <c r="L111" s="15">
        <f t="shared" si="13"/>
        <v>0.109502082920056</v>
      </c>
      <c r="M111" s="15">
        <f t="shared" si="14"/>
        <v>0.12296725328581</v>
      </c>
      <c r="N111" s="16">
        <f t="shared" si="15"/>
        <v>35.5</v>
      </c>
      <c r="O111" s="16">
        <f t="shared" si="16"/>
        <v>393557.012953308</v>
      </c>
      <c r="P111" s="16">
        <f t="shared" si="17"/>
        <v>385396.110283448</v>
      </c>
      <c r="Q111" s="16">
        <f t="shared" si="18"/>
        <v>8.30444964871194</v>
      </c>
      <c r="R111" s="16">
        <f t="shared" si="19"/>
        <v>1.02117536335242</v>
      </c>
      <c r="S111" s="16">
        <v>11.9014084507042</v>
      </c>
    </row>
    <row r="112" spans="1:19">
      <c r="A112" s="5">
        <v>22</v>
      </c>
      <c r="B112" s="6">
        <v>113.6</v>
      </c>
      <c r="C112" s="6">
        <v>3.2</v>
      </c>
      <c r="D112" s="6">
        <v>336</v>
      </c>
      <c r="E112" s="6">
        <v>354.6</v>
      </c>
      <c r="F112" s="6">
        <v>42.7</v>
      </c>
      <c r="G112" s="5" t="s">
        <v>20</v>
      </c>
      <c r="H112" s="6">
        <v>1139</v>
      </c>
      <c r="I112" s="14">
        <f t="shared" si="10"/>
        <v>10135.5318827175</v>
      </c>
      <c r="J112" s="15">
        <f t="shared" si="11"/>
        <v>1109.8618526602</v>
      </c>
      <c r="K112" s="15">
        <f t="shared" si="12"/>
        <v>9025.67003005733</v>
      </c>
      <c r="L112" s="15">
        <f t="shared" si="13"/>
        <v>0.109502082920056</v>
      </c>
      <c r="M112" s="15">
        <f t="shared" si="14"/>
        <v>0.12296725328581</v>
      </c>
      <c r="N112" s="16">
        <f t="shared" si="15"/>
        <v>35.5</v>
      </c>
      <c r="O112" s="16">
        <f t="shared" si="16"/>
        <v>393557.012953308</v>
      </c>
      <c r="P112" s="16">
        <f t="shared" si="17"/>
        <v>385396.110283448</v>
      </c>
      <c r="Q112" s="16">
        <f t="shared" si="18"/>
        <v>8.30444964871194</v>
      </c>
      <c r="R112" s="16">
        <f t="shared" si="19"/>
        <v>1.02117536335242</v>
      </c>
      <c r="S112" s="16">
        <v>11.830985915493</v>
      </c>
    </row>
    <row r="113" spans="1:19">
      <c r="A113" s="5">
        <v>23</v>
      </c>
      <c r="B113" s="6">
        <v>114.8</v>
      </c>
      <c r="C113" s="6">
        <v>3.9</v>
      </c>
      <c r="D113" s="6">
        <v>335</v>
      </c>
      <c r="E113" s="6">
        <v>357.7</v>
      </c>
      <c r="F113" s="6">
        <v>42.7</v>
      </c>
      <c r="G113" s="5" t="s">
        <v>20</v>
      </c>
      <c r="H113" s="6">
        <v>1041</v>
      </c>
      <c r="I113" s="14">
        <f t="shared" si="10"/>
        <v>10350.7938113415</v>
      </c>
      <c r="J113" s="15">
        <f t="shared" si="11"/>
        <v>1358.77023860412</v>
      </c>
      <c r="K113" s="15">
        <f t="shared" si="12"/>
        <v>8992.02357273739</v>
      </c>
      <c r="L113" s="15">
        <f t="shared" si="13"/>
        <v>0.131272080515728</v>
      </c>
      <c r="M113" s="15">
        <f t="shared" si="14"/>
        <v>0.151108393746179</v>
      </c>
      <c r="N113" s="16">
        <f t="shared" si="15"/>
        <v>29.4358974358974</v>
      </c>
      <c r="O113" s="16">
        <f t="shared" si="16"/>
        <v>486032.114348694</v>
      </c>
      <c r="P113" s="16">
        <f t="shared" si="17"/>
        <v>383959.406555886</v>
      </c>
      <c r="Q113" s="16">
        <f t="shared" si="18"/>
        <v>8.37704918032787</v>
      </c>
      <c r="R113" s="16">
        <f t="shared" si="19"/>
        <v>1.26584244597209</v>
      </c>
      <c r="S113" s="16">
        <v>11.6724738675958</v>
      </c>
    </row>
    <row r="114" spans="1:19">
      <c r="A114" s="5">
        <v>24</v>
      </c>
      <c r="B114" s="6">
        <v>114.8</v>
      </c>
      <c r="C114" s="6">
        <v>3.9</v>
      </c>
      <c r="D114" s="6">
        <v>338</v>
      </c>
      <c r="E114" s="6">
        <v>357.7</v>
      </c>
      <c r="F114" s="6">
        <v>42.7</v>
      </c>
      <c r="G114" s="5" t="s">
        <v>20</v>
      </c>
      <c r="H114" s="6">
        <v>1110</v>
      </c>
      <c r="I114" s="14">
        <f t="shared" si="10"/>
        <v>10350.7938113415</v>
      </c>
      <c r="J114" s="15">
        <f t="shared" si="11"/>
        <v>1358.77023860412</v>
      </c>
      <c r="K114" s="15">
        <f t="shared" si="12"/>
        <v>8992.02357273739</v>
      </c>
      <c r="L114" s="15">
        <f t="shared" si="13"/>
        <v>0.131272080515728</v>
      </c>
      <c r="M114" s="15">
        <f t="shared" si="14"/>
        <v>0.151108393746179</v>
      </c>
      <c r="N114" s="16">
        <f t="shared" si="15"/>
        <v>29.4358974358974</v>
      </c>
      <c r="O114" s="16">
        <f t="shared" si="16"/>
        <v>486032.114348694</v>
      </c>
      <c r="P114" s="16">
        <f t="shared" si="17"/>
        <v>383959.406555886</v>
      </c>
      <c r="Q114" s="16">
        <f t="shared" si="18"/>
        <v>8.37704918032787</v>
      </c>
      <c r="R114" s="16">
        <f t="shared" si="19"/>
        <v>1.26584244597209</v>
      </c>
      <c r="S114" s="16">
        <v>11.7770034843206</v>
      </c>
    </row>
    <row r="115" spans="1:19">
      <c r="A115" s="5">
        <v>25</v>
      </c>
      <c r="B115" s="6">
        <v>114.8</v>
      </c>
      <c r="C115" s="6">
        <v>3.9</v>
      </c>
      <c r="D115" s="6">
        <v>343</v>
      </c>
      <c r="E115" s="6">
        <v>357.7</v>
      </c>
      <c r="F115" s="6">
        <v>42.7</v>
      </c>
      <c r="G115" s="5" t="s">
        <v>20</v>
      </c>
      <c r="H115" s="6">
        <v>1030</v>
      </c>
      <c r="I115" s="14">
        <f t="shared" si="10"/>
        <v>10350.7938113415</v>
      </c>
      <c r="J115" s="15">
        <f t="shared" si="11"/>
        <v>1358.77023860412</v>
      </c>
      <c r="K115" s="15">
        <f t="shared" si="12"/>
        <v>8992.02357273739</v>
      </c>
      <c r="L115" s="15">
        <f t="shared" si="13"/>
        <v>0.131272080515728</v>
      </c>
      <c r="M115" s="15">
        <f t="shared" si="14"/>
        <v>0.151108393746179</v>
      </c>
      <c r="N115" s="16">
        <f t="shared" si="15"/>
        <v>29.4358974358974</v>
      </c>
      <c r="O115" s="16">
        <f t="shared" si="16"/>
        <v>486032.114348694</v>
      </c>
      <c r="P115" s="16">
        <f t="shared" si="17"/>
        <v>383959.406555886</v>
      </c>
      <c r="Q115" s="16">
        <f t="shared" si="18"/>
        <v>8.37704918032787</v>
      </c>
      <c r="R115" s="16">
        <f t="shared" si="19"/>
        <v>1.26584244597209</v>
      </c>
      <c r="S115" s="16">
        <v>11.9512195121951</v>
      </c>
    </row>
    <row r="116" spans="1:19">
      <c r="A116" s="5">
        <v>26</v>
      </c>
      <c r="B116" s="6">
        <v>115.9</v>
      </c>
      <c r="C116" s="6">
        <v>4.9</v>
      </c>
      <c r="D116" s="6">
        <v>356</v>
      </c>
      <c r="E116" s="6">
        <v>309.5</v>
      </c>
      <c r="F116" s="6">
        <v>42.7</v>
      </c>
      <c r="G116" s="5" t="s">
        <v>20</v>
      </c>
      <c r="H116" s="6">
        <v>1122</v>
      </c>
      <c r="I116" s="14">
        <f t="shared" si="10"/>
        <v>10550.1043032669</v>
      </c>
      <c r="J116" s="15">
        <f t="shared" si="11"/>
        <v>1708.71224428749</v>
      </c>
      <c r="K116" s="15">
        <f t="shared" si="12"/>
        <v>8841.39205897939</v>
      </c>
      <c r="L116" s="15">
        <f t="shared" si="13"/>
        <v>0.161961644659606</v>
      </c>
      <c r="M116" s="15">
        <f t="shared" si="14"/>
        <v>0.193262806681229</v>
      </c>
      <c r="N116" s="16">
        <f t="shared" si="15"/>
        <v>23.6530612244898</v>
      </c>
      <c r="O116" s="16">
        <f t="shared" si="16"/>
        <v>528846.439606978</v>
      </c>
      <c r="P116" s="16">
        <f t="shared" si="17"/>
        <v>377527.44091842</v>
      </c>
      <c r="Q116" s="16">
        <f t="shared" si="18"/>
        <v>7.24824355971897</v>
      </c>
      <c r="R116" s="16">
        <f t="shared" si="19"/>
        <v>1.40081589386043</v>
      </c>
      <c r="S116" s="16">
        <v>12.2864538395168</v>
      </c>
    </row>
    <row r="117" spans="1:19">
      <c r="A117" s="5">
        <v>27</v>
      </c>
      <c r="B117" s="6">
        <v>115.9</v>
      </c>
      <c r="C117" s="6">
        <v>4.9</v>
      </c>
      <c r="D117" s="6">
        <v>344</v>
      </c>
      <c r="E117" s="6">
        <v>309.5</v>
      </c>
      <c r="F117" s="6">
        <v>42.7</v>
      </c>
      <c r="G117" s="5" t="s">
        <v>20</v>
      </c>
      <c r="H117" s="6">
        <v>1234</v>
      </c>
      <c r="I117" s="14">
        <f t="shared" si="10"/>
        <v>10550.1043032669</v>
      </c>
      <c r="J117" s="15">
        <f t="shared" si="11"/>
        <v>1708.71224428749</v>
      </c>
      <c r="K117" s="15">
        <f t="shared" si="12"/>
        <v>8841.39205897939</v>
      </c>
      <c r="L117" s="15">
        <f t="shared" si="13"/>
        <v>0.161961644659606</v>
      </c>
      <c r="M117" s="15">
        <f t="shared" si="14"/>
        <v>0.193262806681229</v>
      </c>
      <c r="N117" s="16">
        <f t="shared" si="15"/>
        <v>23.6530612244898</v>
      </c>
      <c r="O117" s="16">
        <f t="shared" si="16"/>
        <v>528846.439606978</v>
      </c>
      <c r="P117" s="16">
        <f t="shared" si="17"/>
        <v>377527.44091842</v>
      </c>
      <c r="Q117" s="16">
        <f t="shared" si="18"/>
        <v>7.24824355971897</v>
      </c>
      <c r="R117" s="16">
        <f t="shared" si="19"/>
        <v>1.40081589386043</v>
      </c>
      <c r="S117" s="16">
        <v>11.8723037100949</v>
      </c>
    </row>
    <row r="118" spans="1:19">
      <c r="A118" s="5">
        <v>28</v>
      </c>
      <c r="B118" s="6">
        <v>115.9</v>
      </c>
      <c r="C118" s="6">
        <v>4.9</v>
      </c>
      <c r="D118" s="6">
        <v>340</v>
      </c>
      <c r="E118" s="6">
        <v>309.5</v>
      </c>
      <c r="F118" s="6">
        <v>42.7</v>
      </c>
      <c r="G118" s="5" t="s">
        <v>20</v>
      </c>
      <c r="H118" s="6">
        <v>1102</v>
      </c>
      <c r="I118" s="14">
        <f t="shared" si="10"/>
        <v>10550.1043032669</v>
      </c>
      <c r="J118" s="15">
        <f t="shared" si="11"/>
        <v>1708.71224428749</v>
      </c>
      <c r="K118" s="15">
        <f t="shared" si="12"/>
        <v>8841.39205897939</v>
      </c>
      <c r="L118" s="15">
        <f t="shared" si="13"/>
        <v>0.161961644659606</v>
      </c>
      <c r="M118" s="15">
        <f t="shared" si="14"/>
        <v>0.193262806681229</v>
      </c>
      <c r="N118" s="16">
        <f t="shared" si="15"/>
        <v>23.6530612244898</v>
      </c>
      <c r="O118" s="16">
        <f t="shared" si="16"/>
        <v>528846.439606978</v>
      </c>
      <c r="P118" s="16">
        <f t="shared" si="17"/>
        <v>377527.44091842</v>
      </c>
      <c r="Q118" s="16">
        <f t="shared" si="18"/>
        <v>7.24824355971897</v>
      </c>
      <c r="R118" s="16">
        <f t="shared" si="19"/>
        <v>1.40081589386043</v>
      </c>
      <c r="S118" s="16">
        <v>11.7342536669543</v>
      </c>
    </row>
    <row r="119" spans="1:19">
      <c r="A119" s="5">
        <v>29</v>
      </c>
      <c r="B119" s="6">
        <v>115.9</v>
      </c>
      <c r="C119" s="6">
        <v>4.9</v>
      </c>
      <c r="D119" s="6">
        <v>357</v>
      </c>
      <c r="E119" s="6">
        <v>309.5</v>
      </c>
      <c r="F119" s="6">
        <v>42.7</v>
      </c>
      <c r="G119" s="5" t="s">
        <v>20</v>
      </c>
      <c r="H119" s="6">
        <v>1140</v>
      </c>
      <c r="I119" s="14">
        <f t="shared" si="10"/>
        <v>10550.1043032669</v>
      </c>
      <c r="J119" s="15">
        <f t="shared" si="11"/>
        <v>1708.71224428749</v>
      </c>
      <c r="K119" s="15">
        <f t="shared" si="12"/>
        <v>8841.39205897939</v>
      </c>
      <c r="L119" s="15">
        <f t="shared" si="13"/>
        <v>0.161961644659606</v>
      </c>
      <c r="M119" s="15">
        <f t="shared" si="14"/>
        <v>0.193262806681229</v>
      </c>
      <c r="N119" s="16">
        <f t="shared" si="15"/>
        <v>23.6530612244898</v>
      </c>
      <c r="O119" s="16">
        <f t="shared" si="16"/>
        <v>528846.439606978</v>
      </c>
      <c r="P119" s="16">
        <f t="shared" si="17"/>
        <v>377527.44091842</v>
      </c>
      <c r="Q119" s="16">
        <f t="shared" si="18"/>
        <v>7.24824355971897</v>
      </c>
      <c r="R119" s="16">
        <f t="shared" si="19"/>
        <v>1.40081589386043</v>
      </c>
      <c r="S119" s="16">
        <v>12.320966350302</v>
      </c>
    </row>
    <row r="120" spans="1:19">
      <c r="A120" s="5">
        <v>30</v>
      </c>
      <c r="B120" s="6">
        <v>130.1</v>
      </c>
      <c r="C120" s="6">
        <v>2.3</v>
      </c>
      <c r="D120" s="6">
        <v>396</v>
      </c>
      <c r="E120" s="6">
        <v>324.3</v>
      </c>
      <c r="F120" s="6">
        <v>42.7</v>
      </c>
      <c r="G120" s="5" t="s">
        <v>20</v>
      </c>
      <c r="H120" s="6">
        <v>1240</v>
      </c>
      <c r="I120" s="14">
        <f t="shared" si="10"/>
        <v>13293.6571676468</v>
      </c>
      <c r="J120" s="15">
        <f t="shared" si="11"/>
        <v>923.439744596183</v>
      </c>
      <c r="K120" s="15">
        <f t="shared" si="12"/>
        <v>12370.2174230507</v>
      </c>
      <c r="L120" s="15">
        <f t="shared" si="13"/>
        <v>0.0694646877793407</v>
      </c>
      <c r="M120" s="15">
        <f t="shared" si="14"/>
        <v>0.0746502436469261</v>
      </c>
      <c r="N120" s="16">
        <f t="shared" si="15"/>
        <v>56.5652173913044</v>
      </c>
      <c r="O120" s="16">
        <f t="shared" si="16"/>
        <v>299471.509172542</v>
      </c>
      <c r="P120" s="16">
        <f t="shared" si="17"/>
        <v>528208.283964263</v>
      </c>
      <c r="Q120" s="16">
        <f t="shared" si="18"/>
        <v>7.59484777517564</v>
      </c>
      <c r="R120" s="16">
        <f t="shared" si="19"/>
        <v>0.566957236878177</v>
      </c>
      <c r="S120" s="16">
        <v>12.1752498078401</v>
      </c>
    </row>
    <row r="121" spans="1:19">
      <c r="A121" s="5">
        <v>31</v>
      </c>
      <c r="B121" s="6">
        <v>133.1</v>
      </c>
      <c r="C121" s="6">
        <v>4.5</v>
      </c>
      <c r="D121" s="6">
        <v>397</v>
      </c>
      <c r="E121" s="6">
        <v>324.3</v>
      </c>
      <c r="F121" s="6">
        <v>42.7</v>
      </c>
      <c r="G121" s="5" t="s">
        <v>20</v>
      </c>
      <c r="H121" s="6">
        <v>1440</v>
      </c>
      <c r="I121" s="14">
        <f t="shared" si="10"/>
        <v>13913.8075574655</v>
      </c>
      <c r="J121" s="15">
        <f t="shared" si="11"/>
        <v>1818.03966863241</v>
      </c>
      <c r="K121" s="15">
        <f t="shared" si="12"/>
        <v>12095.7678888331</v>
      </c>
      <c r="L121" s="15">
        <f t="shared" si="13"/>
        <v>0.130664425328848</v>
      </c>
      <c r="M121" s="15">
        <f t="shared" si="14"/>
        <v>0.150303782723116</v>
      </c>
      <c r="N121" s="16">
        <f t="shared" si="15"/>
        <v>29.5777777777778</v>
      </c>
      <c r="O121" s="16">
        <f t="shared" si="16"/>
        <v>589590.264537491</v>
      </c>
      <c r="P121" s="16">
        <f t="shared" si="17"/>
        <v>516489.288853171</v>
      </c>
      <c r="Q121" s="16">
        <f t="shared" si="18"/>
        <v>7.59484777517564</v>
      </c>
      <c r="R121" s="16">
        <f t="shared" si="19"/>
        <v>1.14153434981514</v>
      </c>
      <c r="S121" s="16">
        <v>11.9308790383171</v>
      </c>
    </row>
    <row r="122" spans="1:19">
      <c r="A122" s="5" t="s">
        <v>109</v>
      </c>
      <c r="B122" s="6">
        <v>158.7</v>
      </c>
      <c r="C122" s="6">
        <v>0.9</v>
      </c>
      <c r="D122" s="6">
        <v>450</v>
      </c>
      <c r="E122" s="6">
        <v>221</v>
      </c>
      <c r="F122" s="6">
        <v>18.7</v>
      </c>
      <c r="G122" s="5" t="s">
        <v>20</v>
      </c>
      <c r="H122" s="6">
        <v>699.7</v>
      </c>
      <c r="I122" s="14">
        <f t="shared" si="10"/>
        <v>19780.7946698975</v>
      </c>
      <c r="J122" s="15">
        <f t="shared" si="11"/>
        <v>446.168988662824</v>
      </c>
      <c r="K122" s="15">
        <f t="shared" si="12"/>
        <v>19334.6256812347</v>
      </c>
      <c r="L122" s="15">
        <f t="shared" si="13"/>
        <v>0.0225556655386452</v>
      </c>
      <c r="M122" s="15">
        <f t="shared" si="14"/>
        <v>0.0230761637705692</v>
      </c>
      <c r="N122" s="16">
        <f t="shared" si="15"/>
        <v>176.333333333333</v>
      </c>
      <c r="O122" s="16">
        <f t="shared" si="16"/>
        <v>98603.3464944841</v>
      </c>
      <c r="P122" s="16">
        <f t="shared" si="17"/>
        <v>361557.500239088</v>
      </c>
      <c r="Q122" s="16">
        <f t="shared" si="18"/>
        <v>11.8181818181818</v>
      </c>
      <c r="R122" s="16">
        <f t="shared" si="19"/>
        <v>0.272718299106727</v>
      </c>
      <c r="S122" s="16">
        <v>11.3421550094518</v>
      </c>
    </row>
    <row r="123" spans="1:19">
      <c r="A123" s="5" t="s">
        <v>110</v>
      </c>
      <c r="B123" s="6">
        <v>157.5</v>
      </c>
      <c r="C123" s="6">
        <v>1.5</v>
      </c>
      <c r="D123" s="6">
        <v>450</v>
      </c>
      <c r="E123" s="6">
        <v>308</v>
      </c>
      <c r="F123" s="6">
        <v>18.7</v>
      </c>
      <c r="G123" s="5" t="s">
        <v>20</v>
      </c>
      <c r="H123" s="6">
        <v>815.4</v>
      </c>
      <c r="I123" s="14">
        <f t="shared" si="10"/>
        <v>19482.783190778</v>
      </c>
      <c r="J123" s="15">
        <f t="shared" si="11"/>
        <v>735.132680940012</v>
      </c>
      <c r="K123" s="15">
        <f t="shared" si="12"/>
        <v>18747.6505098379</v>
      </c>
      <c r="L123" s="15">
        <f t="shared" si="13"/>
        <v>0.0377324263038549</v>
      </c>
      <c r="M123" s="15">
        <f t="shared" si="14"/>
        <v>0.0392119898199642</v>
      </c>
      <c r="N123" s="16">
        <f t="shared" si="15"/>
        <v>105</v>
      </c>
      <c r="O123" s="16">
        <f t="shared" si="16"/>
        <v>226420.865729524</v>
      </c>
      <c r="P123" s="16">
        <f t="shared" si="17"/>
        <v>350581.064533969</v>
      </c>
      <c r="Q123" s="16">
        <f t="shared" si="18"/>
        <v>16.4705882352941</v>
      </c>
      <c r="R123" s="16">
        <f t="shared" si="19"/>
        <v>0.645844538211175</v>
      </c>
      <c r="S123" s="16">
        <v>11.4285714285714</v>
      </c>
    </row>
    <row r="124" spans="1:19">
      <c r="A124" s="5" t="s">
        <v>111</v>
      </c>
      <c r="B124" s="6">
        <v>157.7</v>
      </c>
      <c r="C124" s="6">
        <v>2.14</v>
      </c>
      <c r="D124" s="6">
        <v>450</v>
      </c>
      <c r="E124" s="6">
        <v>286</v>
      </c>
      <c r="F124" s="6">
        <v>18.7</v>
      </c>
      <c r="G124" s="5" t="s">
        <v>20</v>
      </c>
      <c r="H124" s="6">
        <v>907.5</v>
      </c>
      <c r="I124" s="14">
        <f t="shared" si="10"/>
        <v>19532.2946909985</v>
      </c>
      <c r="J124" s="15">
        <f t="shared" si="11"/>
        <v>1045.8311678318</v>
      </c>
      <c r="K124" s="15">
        <f t="shared" si="12"/>
        <v>18486.4635231667</v>
      </c>
      <c r="L124" s="15">
        <f t="shared" si="13"/>
        <v>0.0535436918384079</v>
      </c>
      <c r="M124" s="15">
        <f t="shared" si="14"/>
        <v>0.0565728088837105</v>
      </c>
      <c r="N124" s="16">
        <f t="shared" si="15"/>
        <v>73.6915887850467</v>
      </c>
      <c r="O124" s="16">
        <f t="shared" si="16"/>
        <v>299107.713999894</v>
      </c>
      <c r="P124" s="16">
        <f t="shared" si="17"/>
        <v>345696.867883218</v>
      </c>
      <c r="Q124" s="16">
        <f t="shared" si="18"/>
        <v>15.2941176470588</v>
      </c>
      <c r="R124" s="16">
        <f t="shared" si="19"/>
        <v>0.865231194692043</v>
      </c>
      <c r="S124" s="16">
        <v>11.4140773620799</v>
      </c>
    </row>
    <row r="125" spans="1:19">
      <c r="A125" s="5" t="s">
        <v>112</v>
      </c>
      <c r="B125" s="6">
        <v>166</v>
      </c>
      <c r="C125" s="6">
        <v>5</v>
      </c>
      <c r="D125" s="6">
        <v>660</v>
      </c>
      <c r="E125" s="6">
        <v>274.4</v>
      </c>
      <c r="F125" s="6">
        <v>26.56</v>
      </c>
      <c r="G125" s="5" t="s">
        <v>20</v>
      </c>
      <c r="H125" s="6">
        <v>1744</v>
      </c>
      <c r="I125" s="14">
        <f t="shared" si="10"/>
        <v>21642.4317905801</v>
      </c>
      <c r="J125" s="15">
        <f t="shared" si="11"/>
        <v>2528.98208613978</v>
      </c>
      <c r="K125" s="15">
        <f t="shared" si="12"/>
        <v>19113.4497044403</v>
      </c>
      <c r="L125" s="15">
        <f t="shared" si="13"/>
        <v>0.116852953984613</v>
      </c>
      <c r="M125" s="15">
        <f t="shared" si="14"/>
        <v>0.132314266929652</v>
      </c>
      <c r="N125" s="16">
        <f t="shared" si="15"/>
        <v>33.2</v>
      </c>
      <c r="O125" s="16">
        <f t="shared" si="16"/>
        <v>693952.684436757</v>
      </c>
      <c r="P125" s="16">
        <f t="shared" si="17"/>
        <v>507653.224149934</v>
      </c>
      <c r="Q125" s="16">
        <f t="shared" si="18"/>
        <v>10.3313253012048</v>
      </c>
      <c r="R125" s="16">
        <f t="shared" si="19"/>
        <v>1.36698173364068</v>
      </c>
      <c r="S125" s="16">
        <v>15.9036144578313</v>
      </c>
    </row>
    <row r="126" spans="1:19">
      <c r="A126" s="5" t="s">
        <v>113</v>
      </c>
      <c r="B126" s="6">
        <v>166</v>
      </c>
      <c r="C126" s="6">
        <v>5</v>
      </c>
      <c r="D126" s="6">
        <v>660</v>
      </c>
      <c r="E126" s="6">
        <v>274.4</v>
      </c>
      <c r="F126" s="6">
        <v>26.56</v>
      </c>
      <c r="G126" s="5" t="s">
        <v>20</v>
      </c>
      <c r="H126" s="6">
        <v>1695</v>
      </c>
      <c r="I126" s="14">
        <f t="shared" si="10"/>
        <v>21642.4317905801</v>
      </c>
      <c r="J126" s="15">
        <f t="shared" si="11"/>
        <v>2528.98208613978</v>
      </c>
      <c r="K126" s="15">
        <f t="shared" si="12"/>
        <v>19113.4497044403</v>
      </c>
      <c r="L126" s="15">
        <f t="shared" si="13"/>
        <v>0.116852953984613</v>
      </c>
      <c r="M126" s="15">
        <f t="shared" si="14"/>
        <v>0.132314266929652</v>
      </c>
      <c r="N126" s="16">
        <f t="shared" si="15"/>
        <v>33.2</v>
      </c>
      <c r="O126" s="16">
        <f t="shared" si="16"/>
        <v>693952.684436757</v>
      </c>
      <c r="P126" s="16">
        <f t="shared" si="17"/>
        <v>507653.224149934</v>
      </c>
      <c r="Q126" s="16">
        <f t="shared" si="18"/>
        <v>10.3313253012048</v>
      </c>
      <c r="R126" s="16">
        <f t="shared" si="19"/>
        <v>1.36698173364068</v>
      </c>
      <c r="S126" s="16">
        <v>15.9036144578313</v>
      </c>
    </row>
    <row r="127" spans="1:19">
      <c r="A127" s="5" t="s">
        <v>114</v>
      </c>
      <c r="B127" s="6">
        <v>166</v>
      </c>
      <c r="C127" s="6">
        <v>5</v>
      </c>
      <c r="D127" s="6">
        <v>660</v>
      </c>
      <c r="E127" s="6">
        <v>274.4</v>
      </c>
      <c r="F127" s="6">
        <v>29.62</v>
      </c>
      <c r="G127" s="5" t="s">
        <v>20</v>
      </c>
      <c r="H127" s="6">
        <v>1862</v>
      </c>
      <c r="I127" s="14">
        <f t="shared" si="10"/>
        <v>21642.4317905801</v>
      </c>
      <c r="J127" s="15">
        <f t="shared" si="11"/>
        <v>2528.98208613978</v>
      </c>
      <c r="K127" s="15">
        <f t="shared" si="12"/>
        <v>19113.4497044403</v>
      </c>
      <c r="L127" s="15">
        <f t="shared" si="13"/>
        <v>0.116852953984613</v>
      </c>
      <c r="M127" s="15">
        <f t="shared" si="14"/>
        <v>0.132314266929652</v>
      </c>
      <c r="N127" s="16">
        <f t="shared" si="15"/>
        <v>33.2</v>
      </c>
      <c r="O127" s="16">
        <f t="shared" si="16"/>
        <v>693952.684436757</v>
      </c>
      <c r="P127" s="16">
        <f t="shared" si="17"/>
        <v>566140.380245522</v>
      </c>
      <c r="Q127" s="16">
        <f t="shared" si="18"/>
        <v>9.26401080351114</v>
      </c>
      <c r="R127" s="16">
        <f t="shared" si="19"/>
        <v>1.22576079829495</v>
      </c>
      <c r="S127" s="16">
        <v>15.9036144578313</v>
      </c>
    </row>
    <row r="128" spans="1:19">
      <c r="A128" s="5" t="s">
        <v>115</v>
      </c>
      <c r="B128" s="6">
        <v>166</v>
      </c>
      <c r="C128" s="6">
        <v>5</v>
      </c>
      <c r="D128" s="6">
        <v>660</v>
      </c>
      <c r="E128" s="6">
        <v>274.4</v>
      </c>
      <c r="F128" s="6">
        <v>29.62</v>
      </c>
      <c r="G128" s="5" t="s">
        <v>20</v>
      </c>
      <c r="H128" s="6">
        <v>1872</v>
      </c>
      <c r="I128" s="14">
        <f t="shared" si="10"/>
        <v>21642.4317905801</v>
      </c>
      <c r="J128" s="15">
        <f t="shared" si="11"/>
        <v>2528.98208613978</v>
      </c>
      <c r="K128" s="15">
        <f t="shared" si="12"/>
        <v>19113.4497044403</v>
      </c>
      <c r="L128" s="15">
        <f t="shared" si="13"/>
        <v>0.116852953984613</v>
      </c>
      <c r="M128" s="15">
        <f t="shared" si="14"/>
        <v>0.132314266929652</v>
      </c>
      <c r="N128" s="16">
        <f t="shared" si="15"/>
        <v>33.2</v>
      </c>
      <c r="O128" s="16">
        <f t="shared" si="16"/>
        <v>693952.684436757</v>
      </c>
      <c r="P128" s="16">
        <f t="shared" si="17"/>
        <v>566140.380245522</v>
      </c>
      <c r="Q128" s="16">
        <f t="shared" si="18"/>
        <v>9.26401080351114</v>
      </c>
      <c r="R128" s="16">
        <f t="shared" si="19"/>
        <v>1.22576079829495</v>
      </c>
      <c r="S128" s="16">
        <v>15.9036144578313</v>
      </c>
    </row>
    <row r="129" spans="1:19">
      <c r="A129" s="5" t="s">
        <v>116</v>
      </c>
      <c r="B129" s="6">
        <v>166</v>
      </c>
      <c r="C129" s="6">
        <v>5</v>
      </c>
      <c r="D129" s="6">
        <v>660</v>
      </c>
      <c r="E129" s="6">
        <v>274.4</v>
      </c>
      <c r="F129" s="6">
        <v>29.62</v>
      </c>
      <c r="G129" s="5" t="s">
        <v>20</v>
      </c>
      <c r="H129" s="6">
        <v>1695</v>
      </c>
      <c r="I129" s="14">
        <f t="shared" si="10"/>
        <v>21642.4317905801</v>
      </c>
      <c r="J129" s="15">
        <f t="shared" si="11"/>
        <v>2528.98208613978</v>
      </c>
      <c r="K129" s="15">
        <f t="shared" si="12"/>
        <v>19113.4497044403</v>
      </c>
      <c r="L129" s="15">
        <f t="shared" si="13"/>
        <v>0.116852953984613</v>
      </c>
      <c r="M129" s="15">
        <f t="shared" si="14"/>
        <v>0.132314266929652</v>
      </c>
      <c r="N129" s="16">
        <f t="shared" si="15"/>
        <v>33.2</v>
      </c>
      <c r="O129" s="16">
        <f t="shared" si="16"/>
        <v>693952.684436757</v>
      </c>
      <c r="P129" s="16">
        <f t="shared" si="17"/>
        <v>566140.380245522</v>
      </c>
      <c r="Q129" s="16">
        <f t="shared" si="18"/>
        <v>9.26401080351114</v>
      </c>
      <c r="R129" s="16">
        <f t="shared" si="19"/>
        <v>1.22576079829495</v>
      </c>
      <c r="S129" s="16">
        <v>15.9036144578313</v>
      </c>
    </row>
    <row r="130" spans="1:19">
      <c r="A130" s="8" t="s">
        <v>117</v>
      </c>
      <c r="B130" s="7">
        <v>166</v>
      </c>
      <c r="C130" s="7">
        <v>5</v>
      </c>
      <c r="D130" s="7">
        <v>660</v>
      </c>
      <c r="E130" s="7">
        <v>274.4</v>
      </c>
      <c r="F130" s="7">
        <v>29.62</v>
      </c>
      <c r="G130" s="8" t="s">
        <v>20</v>
      </c>
      <c r="H130" s="7">
        <v>1735</v>
      </c>
      <c r="I130" s="14">
        <f t="shared" si="10"/>
        <v>21642.4317905801</v>
      </c>
      <c r="J130" s="15">
        <f t="shared" si="11"/>
        <v>2528.98208613978</v>
      </c>
      <c r="K130" s="15">
        <f t="shared" si="12"/>
        <v>19113.4497044403</v>
      </c>
      <c r="L130" s="15">
        <f t="shared" si="13"/>
        <v>0.116852953984613</v>
      </c>
      <c r="M130" s="15">
        <f t="shared" si="14"/>
        <v>0.132314266929652</v>
      </c>
      <c r="N130" s="16">
        <f t="shared" si="15"/>
        <v>33.2</v>
      </c>
      <c r="O130" s="16">
        <f t="shared" si="16"/>
        <v>693952.684436757</v>
      </c>
      <c r="P130" s="16">
        <f t="shared" si="17"/>
        <v>566140.380245522</v>
      </c>
      <c r="Q130" s="16">
        <f t="shared" si="18"/>
        <v>9.26401080351114</v>
      </c>
      <c r="R130" s="16">
        <f t="shared" si="19"/>
        <v>1.22576079829495</v>
      </c>
      <c r="S130" s="16">
        <v>15.9036144578313</v>
      </c>
    </row>
    <row r="131" spans="1:19">
      <c r="A131" s="8" t="s">
        <v>118</v>
      </c>
      <c r="B131" s="7">
        <v>166</v>
      </c>
      <c r="C131" s="7">
        <v>5</v>
      </c>
      <c r="D131" s="7">
        <v>660</v>
      </c>
      <c r="E131" s="7">
        <v>274.4</v>
      </c>
      <c r="F131" s="7">
        <v>29.62</v>
      </c>
      <c r="G131" s="8" t="s">
        <v>20</v>
      </c>
      <c r="H131" s="7">
        <v>2029</v>
      </c>
      <c r="I131" s="14">
        <f t="shared" ref="I131:I194" si="20">(PI()*B131^2)/4</f>
        <v>21642.4317905801</v>
      </c>
      <c r="J131" s="15">
        <f t="shared" ref="J131:J194" si="21">(PI()*(B131^2-(B131-2*C131)^2))/4</f>
        <v>2528.98208613978</v>
      </c>
      <c r="K131" s="15">
        <f t="shared" ref="K131:K194" si="22">(PI()*(B131-2*C131)^2)/4</f>
        <v>19113.4497044403</v>
      </c>
      <c r="L131" s="15">
        <f t="shared" ref="L131:L194" si="23">J131/I131</f>
        <v>0.116852953984613</v>
      </c>
      <c r="M131" s="15">
        <f t="shared" ref="M131:M194" si="24">J131/K131</f>
        <v>0.132314266929652</v>
      </c>
      <c r="N131" s="16">
        <f t="shared" ref="N131:N194" si="25">B131/C131</f>
        <v>33.2</v>
      </c>
      <c r="O131" s="16">
        <f t="shared" ref="O131:O194" si="26">J131*E131</f>
        <v>693952.684436757</v>
      </c>
      <c r="P131" s="16">
        <f t="shared" ref="P131:P194" si="27">K131*F131</f>
        <v>566140.380245522</v>
      </c>
      <c r="Q131" s="16">
        <f t="shared" ref="Q131:Q194" si="28">E131/F131</f>
        <v>9.26401080351114</v>
      </c>
      <c r="R131" s="16">
        <f t="shared" ref="R131:R194" si="29">O131/P131</f>
        <v>1.22576079829495</v>
      </c>
      <c r="S131" s="16">
        <v>15.9036144578313</v>
      </c>
    </row>
    <row r="132" spans="1:19">
      <c r="A132" s="8" t="s">
        <v>119</v>
      </c>
      <c r="B132" s="7">
        <v>166</v>
      </c>
      <c r="C132" s="7">
        <v>5</v>
      </c>
      <c r="D132" s="7">
        <v>660</v>
      </c>
      <c r="E132" s="7">
        <v>274.4</v>
      </c>
      <c r="F132" s="7">
        <v>29.62</v>
      </c>
      <c r="G132" s="8" t="s">
        <v>20</v>
      </c>
      <c r="H132" s="7">
        <v>2107</v>
      </c>
      <c r="I132" s="14">
        <f t="shared" si="20"/>
        <v>21642.4317905801</v>
      </c>
      <c r="J132" s="15">
        <f t="shared" si="21"/>
        <v>2528.98208613978</v>
      </c>
      <c r="K132" s="15">
        <f t="shared" si="22"/>
        <v>19113.4497044403</v>
      </c>
      <c r="L132" s="15">
        <f t="shared" si="23"/>
        <v>0.116852953984613</v>
      </c>
      <c r="M132" s="15">
        <f t="shared" si="24"/>
        <v>0.132314266929652</v>
      </c>
      <c r="N132" s="16">
        <f t="shared" si="25"/>
        <v>33.2</v>
      </c>
      <c r="O132" s="16">
        <f t="shared" si="26"/>
        <v>693952.684436757</v>
      </c>
      <c r="P132" s="16">
        <f t="shared" si="27"/>
        <v>566140.380245522</v>
      </c>
      <c r="Q132" s="16">
        <f t="shared" si="28"/>
        <v>9.26401080351114</v>
      </c>
      <c r="R132" s="16">
        <f t="shared" si="29"/>
        <v>1.22576079829495</v>
      </c>
      <c r="S132" s="16">
        <v>15.9036144578313</v>
      </c>
    </row>
    <row r="133" spans="1:19">
      <c r="A133" s="8" t="s">
        <v>120</v>
      </c>
      <c r="B133" s="7">
        <v>166</v>
      </c>
      <c r="C133" s="7">
        <v>5</v>
      </c>
      <c r="D133" s="7">
        <v>350</v>
      </c>
      <c r="E133" s="7">
        <v>274.4</v>
      </c>
      <c r="F133" s="7">
        <v>29.62</v>
      </c>
      <c r="G133" s="8" t="s">
        <v>20</v>
      </c>
      <c r="H133" s="7">
        <v>1784</v>
      </c>
      <c r="I133" s="14">
        <f t="shared" si="20"/>
        <v>21642.4317905801</v>
      </c>
      <c r="J133" s="15">
        <f t="shared" si="21"/>
        <v>2528.98208613978</v>
      </c>
      <c r="K133" s="15">
        <f t="shared" si="22"/>
        <v>19113.4497044403</v>
      </c>
      <c r="L133" s="15">
        <f t="shared" si="23"/>
        <v>0.116852953984613</v>
      </c>
      <c r="M133" s="15">
        <f t="shared" si="24"/>
        <v>0.132314266929652</v>
      </c>
      <c r="N133" s="16">
        <f t="shared" si="25"/>
        <v>33.2</v>
      </c>
      <c r="O133" s="16">
        <f t="shared" si="26"/>
        <v>693952.684436757</v>
      </c>
      <c r="P133" s="16">
        <f t="shared" si="27"/>
        <v>566140.380245522</v>
      </c>
      <c r="Q133" s="16">
        <f t="shared" si="28"/>
        <v>9.26401080351114</v>
      </c>
      <c r="R133" s="16">
        <f t="shared" si="29"/>
        <v>1.22576079829495</v>
      </c>
      <c r="S133" s="16">
        <v>8.43373493975904</v>
      </c>
    </row>
    <row r="134" spans="1:19">
      <c r="A134" s="8" t="s">
        <v>121</v>
      </c>
      <c r="B134" s="7">
        <v>166</v>
      </c>
      <c r="C134" s="7">
        <v>5</v>
      </c>
      <c r="D134" s="7">
        <v>350</v>
      </c>
      <c r="E134" s="7">
        <v>274.4</v>
      </c>
      <c r="F134" s="7">
        <v>29.62</v>
      </c>
      <c r="G134" s="8" t="s">
        <v>20</v>
      </c>
      <c r="H134" s="7">
        <v>2038</v>
      </c>
      <c r="I134" s="14">
        <f t="shared" si="20"/>
        <v>21642.4317905801</v>
      </c>
      <c r="J134" s="15">
        <f t="shared" si="21"/>
        <v>2528.98208613978</v>
      </c>
      <c r="K134" s="15">
        <f t="shared" si="22"/>
        <v>19113.4497044403</v>
      </c>
      <c r="L134" s="15">
        <f t="shared" si="23"/>
        <v>0.116852953984613</v>
      </c>
      <c r="M134" s="15">
        <f t="shared" si="24"/>
        <v>0.132314266929652</v>
      </c>
      <c r="N134" s="16">
        <f t="shared" si="25"/>
        <v>33.2</v>
      </c>
      <c r="O134" s="16">
        <f t="shared" si="26"/>
        <v>693952.684436757</v>
      </c>
      <c r="P134" s="16">
        <f t="shared" si="27"/>
        <v>566140.380245522</v>
      </c>
      <c r="Q134" s="16">
        <f t="shared" si="28"/>
        <v>9.26401080351114</v>
      </c>
      <c r="R134" s="16">
        <f t="shared" si="29"/>
        <v>1.22576079829495</v>
      </c>
      <c r="S134" s="16">
        <v>8.43373493975904</v>
      </c>
    </row>
    <row r="135" spans="1:19">
      <c r="A135" s="8" t="s">
        <v>122</v>
      </c>
      <c r="B135" s="7">
        <v>166</v>
      </c>
      <c r="C135" s="7">
        <v>5</v>
      </c>
      <c r="D135" s="7">
        <v>500</v>
      </c>
      <c r="E135" s="7">
        <v>274.4</v>
      </c>
      <c r="F135" s="7">
        <v>29.62</v>
      </c>
      <c r="G135" s="8" t="s">
        <v>20</v>
      </c>
      <c r="H135" s="7">
        <v>1999</v>
      </c>
      <c r="I135" s="14">
        <f t="shared" si="20"/>
        <v>21642.4317905801</v>
      </c>
      <c r="J135" s="15">
        <f t="shared" si="21"/>
        <v>2528.98208613978</v>
      </c>
      <c r="K135" s="15">
        <f t="shared" si="22"/>
        <v>19113.4497044403</v>
      </c>
      <c r="L135" s="15">
        <f t="shared" si="23"/>
        <v>0.116852953984613</v>
      </c>
      <c r="M135" s="15">
        <f t="shared" si="24"/>
        <v>0.132314266929652</v>
      </c>
      <c r="N135" s="16">
        <f t="shared" si="25"/>
        <v>33.2</v>
      </c>
      <c r="O135" s="16">
        <f t="shared" si="26"/>
        <v>693952.684436757</v>
      </c>
      <c r="P135" s="16">
        <f t="shared" si="27"/>
        <v>566140.380245522</v>
      </c>
      <c r="Q135" s="16">
        <f t="shared" si="28"/>
        <v>9.26401080351114</v>
      </c>
      <c r="R135" s="16">
        <f t="shared" si="29"/>
        <v>1.22576079829495</v>
      </c>
      <c r="S135" s="16">
        <v>12.0481927710843</v>
      </c>
    </row>
    <row r="136" spans="1:19">
      <c r="A136" s="8" t="s">
        <v>123</v>
      </c>
      <c r="B136" s="7">
        <v>166</v>
      </c>
      <c r="C136" s="7">
        <v>5</v>
      </c>
      <c r="D136" s="7">
        <v>500</v>
      </c>
      <c r="E136" s="7">
        <v>274.4</v>
      </c>
      <c r="F136" s="7">
        <v>29.62</v>
      </c>
      <c r="G136" s="8" t="s">
        <v>20</v>
      </c>
      <c r="H136" s="7">
        <v>2043</v>
      </c>
      <c r="I136" s="14">
        <f t="shared" si="20"/>
        <v>21642.4317905801</v>
      </c>
      <c r="J136" s="15">
        <f t="shared" si="21"/>
        <v>2528.98208613978</v>
      </c>
      <c r="K136" s="15">
        <f t="shared" si="22"/>
        <v>19113.4497044403</v>
      </c>
      <c r="L136" s="15">
        <f t="shared" si="23"/>
        <v>0.116852953984613</v>
      </c>
      <c r="M136" s="15">
        <f t="shared" si="24"/>
        <v>0.132314266929652</v>
      </c>
      <c r="N136" s="16">
        <f t="shared" si="25"/>
        <v>33.2</v>
      </c>
      <c r="O136" s="16">
        <f t="shared" si="26"/>
        <v>693952.684436757</v>
      </c>
      <c r="P136" s="16">
        <f t="shared" si="27"/>
        <v>566140.380245522</v>
      </c>
      <c r="Q136" s="16">
        <f t="shared" si="28"/>
        <v>9.26401080351114</v>
      </c>
      <c r="R136" s="16">
        <f t="shared" si="29"/>
        <v>1.22576079829495</v>
      </c>
      <c r="S136" s="16">
        <v>12.0481927710843</v>
      </c>
    </row>
    <row r="137" spans="1:19">
      <c r="A137" s="8" t="s">
        <v>124</v>
      </c>
      <c r="B137" s="7">
        <v>166</v>
      </c>
      <c r="C137" s="7">
        <v>5</v>
      </c>
      <c r="D137" s="7">
        <v>660</v>
      </c>
      <c r="E137" s="7">
        <v>274.4</v>
      </c>
      <c r="F137" s="7">
        <v>29.62</v>
      </c>
      <c r="G137" s="8" t="s">
        <v>20</v>
      </c>
      <c r="H137" s="7">
        <v>1975</v>
      </c>
      <c r="I137" s="14">
        <f t="shared" si="20"/>
        <v>21642.4317905801</v>
      </c>
      <c r="J137" s="15">
        <f t="shared" si="21"/>
        <v>2528.98208613978</v>
      </c>
      <c r="K137" s="15">
        <f t="shared" si="22"/>
        <v>19113.4497044403</v>
      </c>
      <c r="L137" s="15">
        <f t="shared" si="23"/>
        <v>0.116852953984613</v>
      </c>
      <c r="M137" s="15">
        <f t="shared" si="24"/>
        <v>0.132314266929652</v>
      </c>
      <c r="N137" s="16">
        <f t="shared" si="25"/>
        <v>33.2</v>
      </c>
      <c r="O137" s="16">
        <f t="shared" si="26"/>
        <v>693952.684436757</v>
      </c>
      <c r="P137" s="16">
        <f t="shared" si="27"/>
        <v>566140.380245522</v>
      </c>
      <c r="Q137" s="16">
        <f t="shared" si="28"/>
        <v>9.26401080351114</v>
      </c>
      <c r="R137" s="16">
        <f t="shared" si="29"/>
        <v>1.22576079829495</v>
      </c>
      <c r="S137" s="16">
        <v>15.9036144578313</v>
      </c>
    </row>
    <row r="138" spans="1:19">
      <c r="A138" s="8" t="s">
        <v>125</v>
      </c>
      <c r="B138" s="7">
        <v>320</v>
      </c>
      <c r="C138" s="7">
        <v>7</v>
      </c>
      <c r="D138" s="7">
        <v>260</v>
      </c>
      <c r="E138" s="7">
        <v>249.9</v>
      </c>
      <c r="F138" s="7">
        <v>46.57</v>
      </c>
      <c r="G138" s="8" t="s">
        <v>20</v>
      </c>
      <c r="H138" s="7">
        <v>7909</v>
      </c>
      <c r="I138" s="14">
        <f t="shared" si="20"/>
        <v>80424.7719318987</v>
      </c>
      <c r="J138" s="15">
        <f t="shared" si="21"/>
        <v>6883.22950401524</v>
      </c>
      <c r="K138" s="15">
        <f t="shared" si="22"/>
        <v>73541.5424278835</v>
      </c>
      <c r="L138" s="15">
        <f t="shared" si="23"/>
        <v>0.0855859375</v>
      </c>
      <c r="M138" s="15">
        <f t="shared" si="24"/>
        <v>0.09359647998633</v>
      </c>
      <c r="N138" s="16">
        <f t="shared" si="25"/>
        <v>45.7142857142857</v>
      </c>
      <c r="O138" s="16">
        <f t="shared" si="26"/>
        <v>1720119.05305341</v>
      </c>
      <c r="P138" s="16">
        <f t="shared" si="27"/>
        <v>3424829.63086653</v>
      </c>
      <c r="Q138" s="16">
        <f t="shared" si="28"/>
        <v>5.36611552501611</v>
      </c>
      <c r="R138" s="16">
        <f t="shared" si="29"/>
        <v>0.502249524341505</v>
      </c>
      <c r="S138" s="16">
        <v>3.25</v>
      </c>
    </row>
    <row r="139" spans="1:19">
      <c r="A139" s="8" t="s">
        <v>126</v>
      </c>
      <c r="B139" s="7">
        <v>320</v>
      </c>
      <c r="C139" s="7">
        <v>7</v>
      </c>
      <c r="D139" s="7">
        <v>440</v>
      </c>
      <c r="E139" s="7">
        <v>249.9</v>
      </c>
      <c r="F139" s="7">
        <v>46.57</v>
      </c>
      <c r="G139" s="8" t="s">
        <v>20</v>
      </c>
      <c r="H139" s="7">
        <v>5900</v>
      </c>
      <c r="I139" s="14">
        <f t="shared" si="20"/>
        <v>80424.7719318987</v>
      </c>
      <c r="J139" s="15">
        <f t="shared" si="21"/>
        <v>6883.22950401524</v>
      </c>
      <c r="K139" s="15">
        <f t="shared" si="22"/>
        <v>73541.5424278835</v>
      </c>
      <c r="L139" s="15">
        <f t="shared" si="23"/>
        <v>0.0855859375</v>
      </c>
      <c r="M139" s="15">
        <f t="shared" si="24"/>
        <v>0.09359647998633</v>
      </c>
      <c r="N139" s="16">
        <f t="shared" si="25"/>
        <v>45.7142857142857</v>
      </c>
      <c r="O139" s="16">
        <f t="shared" si="26"/>
        <v>1720119.05305341</v>
      </c>
      <c r="P139" s="16">
        <f t="shared" si="27"/>
        <v>3424829.63086653</v>
      </c>
      <c r="Q139" s="16">
        <f t="shared" si="28"/>
        <v>5.36611552501611</v>
      </c>
      <c r="R139" s="16">
        <f t="shared" si="29"/>
        <v>0.502249524341505</v>
      </c>
      <c r="S139" s="16">
        <v>5.5</v>
      </c>
    </row>
    <row r="140" spans="1:19">
      <c r="A140" s="8" t="s">
        <v>127</v>
      </c>
      <c r="B140" s="7">
        <v>320</v>
      </c>
      <c r="C140" s="7">
        <v>7</v>
      </c>
      <c r="D140" s="7">
        <v>520</v>
      </c>
      <c r="E140" s="7">
        <v>249.9</v>
      </c>
      <c r="F140" s="7">
        <v>46.57</v>
      </c>
      <c r="G140" s="8" t="s">
        <v>20</v>
      </c>
      <c r="H140" s="7">
        <v>5890</v>
      </c>
      <c r="I140" s="14">
        <f t="shared" si="20"/>
        <v>80424.7719318987</v>
      </c>
      <c r="J140" s="15">
        <f t="shared" si="21"/>
        <v>6883.22950401524</v>
      </c>
      <c r="K140" s="15">
        <f t="shared" si="22"/>
        <v>73541.5424278835</v>
      </c>
      <c r="L140" s="15">
        <f t="shared" si="23"/>
        <v>0.0855859375</v>
      </c>
      <c r="M140" s="15">
        <f t="shared" si="24"/>
        <v>0.09359647998633</v>
      </c>
      <c r="N140" s="16">
        <f t="shared" si="25"/>
        <v>45.7142857142857</v>
      </c>
      <c r="O140" s="16">
        <f t="shared" si="26"/>
        <v>1720119.05305341</v>
      </c>
      <c r="P140" s="16">
        <f t="shared" si="27"/>
        <v>3424829.63086653</v>
      </c>
      <c r="Q140" s="16">
        <f t="shared" si="28"/>
        <v>5.36611552501611</v>
      </c>
      <c r="R140" s="16">
        <f t="shared" si="29"/>
        <v>0.502249524341505</v>
      </c>
      <c r="S140" s="16">
        <v>6.5</v>
      </c>
    </row>
    <row r="141" spans="1:19">
      <c r="A141" s="8" t="s">
        <v>128</v>
      </c>
      <c r="B141" s="7">
        <v>320</v>
      </c>
      <c r="C141" s="7">
        <v>7</v>
      </c>
      <c r="D141" s="7">
        <v>520</v>
      </c>
      <c r="E141" s="7">
        <v>249.9</v>
      </c>
      <c r="F141" s="7">
        <v>46.57</v>
      </c>
      <c r="G141" s="8" t="s">
        <v>20</v>
      </c>
      <c r="H141" s="7">
        <v>6380</v>
      </c>
      <c r="I141" s="14">
        <f t="shared" si="20"/>
        <v>80424.7719318987</v>
      </c>
      <c r="J141" s="15">
        <f t="shared" si="21"/>
        <v>6883.22950401524</v>
      </c>
      <c r="K141" s="15">
        <f t="shared" si="22"/>
        <v>73541.5424278835</v>
      </c>
      <c r="L141" s="15">
        <f t="shared" si="23"/>
        <v>0.0855859375</v>
      </c>
      <c r="M141" s="15">
        <f t="shared" si="24"/>
        <v>0.09359647998633</v>
      </c>
      <c r="N141" s="16">
        <f t="shared" si="25"/>
        <v>45.7142857142857</v>
      </c>
      <c r="O141" s="16">
        <f t="shared" si="26"/>
        <v>1720119.05305341</v>
      </c>
      <c r="P141" s="16">
        <f t="shared" si="27"/>
        <v>3424829.63086653</v>
      </c>
      <c r="Q141" s="16">
        <f t="shared" si="28"/>
        <v>5.36611552501611</v>
      </c>
      <c r="R141" s="16">
        <f t="shared" si="29"/>
        <v>0.502249524341505</v>
      </c>
      <c r="S141" s="16">
        <v>6.5</v>
      </c>
    </row>
    <row r="142" spans="1:19">
      <c r="A142" s="8" t="s">
        <v>129</v>
      </c>
      <c r="B142" s="7">
        <v>108</v>
      </c>
      <c r="C142" s="7">
        <v>4</v>
      </c>
      <c r="D142" s="7">
        <v>338.88</v>
      </c>
      <c r="E142" s="7">
        <v>324</v>
      </c>
      <c r="F142" s="7">
        <v>28.99</v>
      </c>
      <c r="G142" s="8" t="s">
        <v>20</v>
      </c>
      <c r="H142" s="7">
        <v>1117.2</v>
      </c>
      <c r="I142" s="14">
        <f t="shared" si="20"/>
        <v>9160.88417786784</v>
      </c>
      <c r="J142" s="15">
        <f t="shared" si="21"/>
        <v>1306.90254389335</v>
      </c>
      <c r="K142" s="15">
        <f t="shared" si="22"/>
        <v>7853.98163397448</v>
      </c>
      <c r="L142" s="15">
        <f t="shared" si="23"/>
        <v>0.142661179698217</v>
      </c>
      <c r="M142" s="15">
        <f t="shared" si="24"/>
        <v>0.1664</v>
      </c>
      <c r="N142" s="16">
        <f t="shared" si="25"/>
        <v>27</v>
      </c>
      <c r="O142" s="16">
        <f t="shared" si="26"/>
        <v>423436.424221447</v>
      </c>
      <c r="P142" s="16">
        <f t="shared" si="27"/>
        <v>227686.92756892</v>
      </c>
      <c r="Q142" s="16">
        <f t="shared" si="28"/>
        <v>11.1762676785098</v>
      </c>
      <c r="R142" s="16">
        <f t="shared" si="29"/>
        <v>1.85973094170404</v>
      </c>
      <c r="S142" s="16">
        <v>12.5511111111111</v>
      </c>
    </row>
    <row r="143" spans="1:19">
      <c r="A143" s="8" t="s">
        <v>130</v>
      </c>
      <c r="B143" s="7">
        <v>108</v>
      </c>
      <c r="C143" s="7">
        <v>4</v>
      </c>
      <c r="D143" s="7">
        <v>338.88</v>
      </c>
      <c r="E143" s="7">
        <v>324</v>
      </c>
      <c r="F143" s="7">
        <v>28.99</v>
      </c>
      <c r="G143" s="8" t="s">
        <v>20</v>
      </c>
      <c r="H143" s="7">
        <v>1058.4</v>
      </c>
      <c r="I143" s="14">
        <f t="shared" si="20"/>
        <v>9160.88417786784</v>
      </c>
      <c r="J143" s="15">
        <f t="shared" si="21"/>
        <v>1306.90254389335</v>
      </c>
      <c r="K143" s="15">
        <f t="shared" si="22"/>
        <v>7853.98163397448</v>
      </c>
      <c r="L143" s="15">
        <f t="shared" si="23"/>
        <v>0.142661179698217</v>
      </c>
      <c r="M143" s="15">
        <f t="shared" si="24"/>
        <v>0.1664</v>
      </c>
      <c r="N143" s="16">
        <f t="shared" si="25"/>
        <v>27</v>
      </c>
      <c r="O143" s="16">
        <f t="shared" si="26"/>
        <v>423436.424221447</v>
      </c>
      <c r="P143" s="16">
        <f t="shared" si="27"/>
        <v>227686.92756892</v>
      </c>
      <c r="Q143" s="16">
        <f t="shared" si="28"/>
        <v>11.1762676785098</v>
      </c>
      <c r="R143" s="16">
        <f t="shared" si="29"/>
        <v>1.85973094170404</v>
      </c>
      <c r="S143" s="16">
        <v>12.5511111111111</v>
      </c>
    </row>
    <row r="144" spans="1:19">
      <c r="A144" s="8" t="s">
        <v>131</v>
      </c>
      <c r="B144" s="7">
        <v>108</v>
      </c>
      <c r="C144" s="7">
        <v>4</v>
      </c>
      <c r="D144" s="7">
        <v>338.88</v>
      </c>
      <c r="E144" s="7">
        <v>324</v>
      </c>
      <c r="F144" s="7">
        <v>28.99</v>
      </c>
      <c r="G144" s="8" t="s">
        <v>20</v>
      </c>
      <c r="H144" s="7">
        <v>1073.1</v>
      </c>
      <c r="I144" s="14">
        <f t="shared" si="20"/>
        <v>9160.88417786784</v>
      </c>
      <c r="J144" s="15">
        <f t="shared" si="21"/>
        <v>1306.90254389335</v>
      </c>
      <c r="K144" s="15">
        <f t="shared" si="22"/>
        <v>7853.98163397448</v>
      </c>
      <c r="L144" s="15">
        <f t="shared" si="23"/>
        <v>0.142661179698217</v>
      </c>
      <c r="M144" s="15">
        <f t="shared" si="24"/>
        <v>0.1664</v>
      </c>
      <c r="N144" s="16">
        <f t="shared" si="25"/>
        <v>27</v>
      </c>
      <c r="O144" s="16">
        <f t="shared" si="26"/>
        <v>423436.424221447</v>
      </c>
      <c r="P144" s="16">
        <f t="shared" si="27"/>
        <v>227686.92756892</v>
      </c>
      <c r="Q144" s="16">
        <f t="shared" si="28"/>
        <v>11.1762676785098</v>
      </c>
      <c r="R144" s="16">
        <f t="shared" si="29"/>
        <v>1.85973094170404</v>
      </c>
      <c r="S144" s="16">
        <v>12.5511111111111</v>
      </c>
    </row>
    <row r="145" spans="1:19">
      <c r="A145" s="8" t="s">
        <v>132</v>
      </c>
      <c r="B145" s="7">
        <v>125</v>
      </c>
      <c r="C145" s="7">
        <v>1</v>
      </c>
      <c r="D145" s="7">
        <v>438</v>
      </c>
      <c r="E145" s="7">
        <v>232</v>
      </c>
      <c r="F145" s="7">
        <v>106.02</v>
      </c>
      <c r="G145" s="8" t="s">
        <v>20</v>
      </c>
      <c r="H145" s="7">
        <v>1275</v>
      </c>
      <c r="I145" s="14">
        <f t="shared" si="20"/>
        <v>12271.8463030851</v>
      </c>
      <c r="J145" s="15">
        <f t="shared" si="21"/>
        <v>389.557489045134</v>
      </c>
      <c r="K145" s="15">
        <f t="shared" si="22"/>
        <v>11882.28881404</v>
      </c>
      <c r="L145" s="15">
        <f t="shared" si="23"/>
        <v>0.031744</v>
      </c>
      <c r="M145" s="15">
        <f t="shared" si="24"/>
        <v>0.0327847180910833</v>
      </c>
      <c r="N145" s="16">
        <f t="shared" si="25"/>
        <v>125</v>
      </c>
      <c r="O145" s="16">
        <f t="shared" si="26"/>
        <v>90377.3374584712</v>
      </c>
      <c r="P145" s="16">
        <f t="shared" si="27"/>
        <v>1259760.26006452</v>
      </c>
      <c r="Q145" s="16">
        <f t="shared" si="28"/>
        <v>2.18826636483682</v>
      </c>
      <c r="R145" s="16">
        <f t="shared" si="29"/>
        <v>0.071741695879375</v>
      </c>
      <c r="S145" s="16">
        <v>14.016</v>
      </c>
    </row>
    <row r="146" spans="1:19">
      <c r="A146" s="8" t="s">
        <v>133</v>
      </c>
      <c r="B146" s="7">
        <v>125</v>
      </c>
      <c r="C146" s="7">
        <v>1</v>
      </c>
      <c r="D146" s="7">
        <v>438</v>
      </c>
      <c r="E146" s="7">
        <v>232</v>
      </c>
      <c r="F146" s="7">
        <v>106.02</v>
      </c>
      <c r="G146" s="8" t="s">
        <v>20</v>
      </c>
      <c r="H146" s="7">
        <v>1239</v>
      </c>
      <c r="I146" s="14">
        <f t="shared" si="20"/>
        <v>12271.8463030851</v>
      </c>
      <c r="J146" s="15">
        <f t="shared" si="21"/>
        <v>389.557489045134</v>
      </c>
      <c r="K146" s="15">
        <f t="shared" si="22"/>
        <v>11882.28881404</v>
      </c>
      <c r="L146" s="15">
        <f t="shared" si="23"/>
        <v>0.031744</v>
      </c>
      <c r="M146" s="15">
        <f t="shared" si="24"/>
        <v>0.0327847180910833</v>
      </c>
      <c r="N146" s="16">
        <f t="shared" si="25"/>
        <v>125</v>
      </c>
      <c r="O146" s="16">
        <f t="shared" si="26"/>
        <v>90377.3374584712</v>
      </c>
      <c r="P146" s="16">
        <f t="shared" si="27"/>
        <v>1259760.26006452</v>
      </c>
      <c r="Q146" s="16">
        <f t="shared" si="28"/>
        <v>2.18826636483682</v>
      </c>
      <c r="R146" s="16">
        <f t="shared" si="29"/>
        <v>0.071741695879375</v>
      </c>
      <c r="S146" s="16">
        <v>14.016</v>
      </c>
    </row>
    <row r="147" spans="1:19">
      <c r="A147" s="8" t="s">
        <v>134</v>
      </c>
      <c r="B147" s="7">
        <v>127</v>
      </c>
      <c r="C147" s="7">
        <v>2</v>
      </c>
      <c r="D147" s="7">
        <v>445</v>
      </c>
      <c r="E147" s="7">
        <v>258</v>
      </c>
      <c r="F147" s="7">
        <v>106.02</v>
      </c>
      <c r="G147" s="8" t="s">
        <v>20</v>
      </c>
      <c r="H147" s="7">
        <v>1491</v>
      </c>
      <c r="I147" s="14">
        <f t="shared" si="20"/>
        <v>12667.6869774374</v>
      </c>
      <c r="J147" s="15">
        <f t="shared" si="21"/>
        <v>785.398163397448</v>
      </c>
      <c r="K147" s="15">
        <f t="shared" si="22"/>
        <v>11882.28881404</v>
      </c>
      <c r="L147" s="15">
        <f t="shared" si="23"/>
        <v>0.062000124000248</v>
      </c>
      <c r="M147" s="15">
        <f t="shared" si="24"/>
        <v>0.0660982219578293</v>
      </c>
      <c r="N147" s="16">
        <f t="shared" si="25"/>
        <v>63.5</v>
      </c>
      <c r="O147" s="16">
        <f t="shared" si="26"/>
        <v>202632.726156542</v>
      </c>
      <c r="P147" s="16">
        <f t="shared" si="27"/>
        <v>1259760.26006452</v>
      </c>
      <c r="Q147" s="16">
        <f t="shared" si="28"/>
        <v>2.43350311262026</v>
      </c>
      <c r="R147" s="16">
        <f t="shared" si="29"/>
        <v>0.160850228873043</v>
      </c>
      <c r="S147" s="16">
        <v>14.0157480314961</v>
      </c>
    </row>
    <row r="148" spans="1:19">
      <c r="A148" s="8" t="s">
        <v>135</v>
      </c>
      <c r="B148" s="7">
        <v>127</v>
      </c>
      <c r="C148" s="7">
        <v>2</v>
      </c>
      <c r="D148" s="7">
        <v>445</v>
      </c>
      <c r="E148" s="7">
        <v>258</v>
      </c>
      <c r="F148" s="7">
        <v>106.02</v>
      </c>
      <c r="G148" s="8" t="s">
        <v>20</v>
      </c>
      <c r="H148" s="7">
        <v>1339</v>
      </c>
      <c r="I148" s="14">
        <f t="shared" si="20"/>
        <v>12667.6869774374</v>
      </c>
      <c r="J148" s="15">
        <f t="shared" si="21"/>
        <v>785.398163397448</v>
      </c>
      <c r="K148" s="15">
        <f t="shared" si="22"/>
        <v>11882.28881404</v>
      </c>
      <c r="L148" s="15">
        <f t="shared" si="23"/>
        <v>0.062000124000248</v>
      </c>
      <c r="M148" s="15">
        <f t="shared" si="24"/>
        <v>0.0660982219578293</v>
      </c>
      <c r="N148" s="16">
        <f t="shared" si="25"/>
        <v>63.5</v>
      </c>
      <c r="O148" s="16">
        <f t="shared" si="26"/>
        <v>202632.726156542</v>
      </c>
      <c r="P148" s="16">
        <f t="shared" si="27"/>
        <v>1259760.26006452</v>
      </c>
      <c r="Q148" s="16">
        <f t="shared" si="28"/>
        <v>2.43350311262026</v>
      </c>
      <c r="R148" s="16">
        <f t="shared" si="29"/>
        <v>0.160850228873043</v>
      </c>
      <c r="S148" s="16">
        <v>14.0157480314961</v>
      </c>
    </row>
    <row r="149" spans="1:19">
      <c r="A149" s="8" t="s">
        <v>136</v>
      </c>
      <c r="B149" s="7">
        <v>133</v>
      </c>
      <c r="C149" s="7">
        <v>3.5</v>
      </c>
      <c r="D149" s="7">
        <v>465</v>
      </c>
      <c r="E149" s="7">
        <v>352</v>
      </c>
      <c r="F149" s="7">
        <v>106.02</v>
      </c>
      <c r="G149" s="8" t="s">
        <v>20</v>
      </c>
      <c r="H149" s="7">
        <v>1995</v>
      </c>
      <c r="I149" s="14">
        <f t="shared" si="20"/>
        <v>13892.9081123375</v>
      </c>
      <c r="J149" s="15">
        <f t="shared" si="21"/>
        <v>1423.92687023957</v>
      </c>
      <c r="K149" s="15">
        <f t="shared" si="22"/>
        <v>12468.9812420979</v>
      </c>
      <c r="L149" s="15">
        <f t="shared" si="23"/>
        <v>0.102493074792244</v>
      </c>
      <c r="M149" s="15">
        <f t="shared" si="24"/>
        <v>0.114197530864198</v>
      </c>
      <c r="N149" s="16">
        <f t="shared" si="25"/>
        <v>38</v>
      </c>
      <c r="O149" s="16">
        <f t="shared" si="26"/>
        <v>501222.25832433</v>
      </c>
      <c r="P149" s="16">
        <f t="shared" si="27"/>
        <v>1321961.39128722</v>
      </c>
      <c r="Q149" s="16">
        <f t="shared" si="28"/>
        <v>3.32012827768346</v>
      </c>
      <c r="R149" s="16">
        <f t="shared" si="29"/>
        <v>0.379150451463851</v>
      </c>
      <c r="S149" s="16">
        <v>13.984962406015</v>
      </c>
    </row>
    <row r="150" spans="1:19">
      <c r="A150" s="8" t="s">
        <v>137</v>
      </c>
      <c r="B150" s="7">
        <v>133</v>
      </c>
      <c r="C150" s="7">
        <v>3.5</v>
      </c>
      <c r="D150" s="7">
        <v>465</v>
      </c>
      <c r="E150" s="7">
        <v>352</v>
      </c>
      <c r="F150" s="7">
        <v>106.02</v>
      </c>
      <c r="G150" s="8" t="s">
        <v>20</v>
      </c>
      <c r="H150" s="7">
        <v>1991</v>
      </c>
      <c r="I150" s="14">
        <f t="shared" si="20"/>
        <v>13892.9081123375</v>
      </c>
      <c r="J150" s="15">
        <f t="shared" si="21"/>
        <v>1423.92687023957</v>
      </c>
      <c r="K150" s="15">
        <f t="shared" si="22"/>
        <v>12468.9812420979</v>
      </c>
      <c r="L150" s="15">
        <f t="shared" si="23"/>
        <v>0.102493074792244</v>
      </c>
      <c r="M150" s="15">
        <f t="shared" si="24"/>
        <v>0.114197530864198</v>
      </c>
      <c r="N150" s="16">
        <f t="shared" si="25"/>
        <v>38</v>
      </c>
      <c r="O150" s="16">
        <f t="shared" si="26"/>
        <v>501222.25832433</v>
      </c>
      <c r="P150" s="16">
        <f t="shared" si="27"/>
        <v>1321961.39128722</v>
      </c>
      <c r="Q150" s="16">
        <f t="shared" si="28"/>
        <v>3.32012827768346</v>
      </c>
      <c r="R150" s="16">
        <f t="shared" si="29"/>
        <v>0.379150451463851</v>
      </c>
      <c r="S150" s="16">
        <v>13.984962406015</v>
      </c>
    </row>
    <row r="151" spans="1:19">
      <c r="A151" s="8" t="s">
        <v>138</v>
      </c>
      <c r="B151" s="7">
        <v>133</v>
      </c>
      <c r="C151" s="7">
        <v>3.5</v>
      </c>
      <c r="D151" s="7">
        <v>465</v>
      </c>
      <c r="E151" s="7">
        <v>352</v>
      </c>
      <c r="F151" s="7">
        <v>106.02</v>
      </c>
      <c r="G151" s="8" t="s">
        <v>20</v>
      </c>
      <c r="H151" s="7">
        <v>1962</v>
      </c>
      <c r="I151" s="14">
        <f t="shared" si="20"/>
        <v>13892.9081123375</v>
      </c>
      <c r="J151" s="15">
        <f t="shared" si="21"/>
        <v>1423.92687023957</v>
      </c>
      <c r="K151" s="15">
        <f t="shared" si="22"/>
        <v>12468.9812420979</v>
      </c>
      <c r="L151" s="15">
        <f t="shared" si="23"/>
        <v>0.102493074792244</v>
      </c>
      <c r="M151" s="15">
        <f t="shared" si="24"/>
        <v>0.114197530864198</v>
      </c>
      <c r="N151" s="16">
        <f t="shared" si="25"/>
        <v>38</v>
      </c>
      <c r="O151" s="16">
        <f t="shared" si="26"/>
        <v>501222.25832433</v>
      </c>
      <c r="P151" s="16">
        <f t="shared" si="27"/>
        <v>1321961.39128722</v>
      </c>
      <c r="Q151" s="16">
        <f t="shared" si="28"/>
        <v>3.32012827768346</v>
      </c>
      <c r="R151" s="16">
        <f t="shared" si="29"/>
        <v>0.379150451463851</v>
      </c>
      <c r="S151" s="16">
        <v>13.984962406015</v>
      </c>
    </row>
    <row r="152" spans="1:19">
      <c r="A152" s="8" t="s">
        <v>139</v>
      </c>
      <c r="B152" s="7">
        <v>133</v>
      </c>
      <c r="C152" s="7">
        <v>4.7</v>
      </c>
      <c r="D152" s="7">
        <v>465</v>
      </c>
      <c r="E152" s="7">
        <v>352</v>
      </c>
      <c r="F152" s="7">
        <v>106.02</v>
      </c>
      <c r="G152" s="8" t="s">
        <v>20</v>
      </c>
      <c r="H152" s="7">
        <v>2273</v>
      </c>
      <c r="I152" s="14">
        <f t="shared" si="20"/>
        <v>13892.9081123375</v>
      </c>
      <c r="J152" s="15">
        <f t="shared" si="21"/>
        <v>1894.41178604118</v>
      </c>
      <c r="K152" s="15">
        <f t="shared" si="22"/>
        <v>11998.4963262963</v>
      </c>
      <c r="L152" s="15">
        <f t="shared" si="23"/>
        <v>0.136358188704845</v>
      </c>
      <c r="M152" s="15">
        <f t="shared" si="24"/>
        <v>0.157887433101874</v>
      </c>
      <c r="N152" s="16">
        <f t="shared" si="25"/>
        <v>28.2978723404255</v>
      </c>
      <c r="O152" s="16">
        <f t="shared" si="26"/>
        <v>666832.948686496</v>
      </c>
      <c r="P152" s="16">
        <f t="shared" si="27"/>
        <v>1272080.58051393</v>
      </c>
      <c r="Q152" s="16">
        <f t="shared" si="28"/>
        <v>3.32012827768346</v>
      </c>
      <c r="R152" s="16">
        <f t="shared" si="29"/>
        <v>0.524206531332386</v>
      </c>
      <c r="S152" s="16">
        <v>13.984962406015</v>
      </c>
    </row>
    <row r="153" spans="1:19">
      <c r="A153" s="8" t="s">
        <v>140</v>
      </c>
      <c r="B153" s="7">
        <v>133</v>
      </c>
      <c r="C153" s="7">
        <v>4.7</v>
      </c>
      <c r="D153" s="7">
        <v>465</v>
      </c>
      <c r="E153" s="7">
        <v>352</v>
      </c>
      <c r="F153" s="7">
        <v>106.02</v>
      </c>
      <c r="G153" s="8" t="s">
        <v>20</v>
      </c>
      <c r="H153" s="7">
        <v>2158</v>
      </c>
      <c r="I153" s="14">
        <f t="shared" si="20"/>
        <v>13892.9081123375</v>
      </c>
      <c r="J153" s="15">
        <f t="shared" si="21"/>
        <v>1894.41178604118</v>
      </c>
      <c r="K153" s="15">
        <f t="shared" si="22"/>
        <v>11998.4963262963</v>
      </c>
      <c r="L153" s="15">
        <f t="shared" si="23"/>
        <v>0.136358188704845</v>
      </c>
      <c r="M153" s="15">
        <f t="shared" si="24"/>
        <v>0.157887433101874</v>
      </c>
      <c r="N153" s="16">
        <f t="shared" si="25"/>
        <v>28.2978723404255</v>
      </c>
      <c r="O153" s="16">
        <f t="shared" si="26"/>
        <v>666832.948686496</v>
      </c>
      <c r="P153" s="16">
        <f t="shared" si="27"/>
        <v>1272080.58051393</v>
      </c>
      <c r="Q153" s="16">
        <f t="shared" si="28"/>
        <v>3.32012827768346</v>
      </c>
      <c r="R153" s="16">
        <f t="shared" si="29"/>
        <v>0.524206531332386</v>
      </c>
      <c r="S153" s="16">
        <v>13.984962406015</v>
      </c>
    </row>
    <row r="154" spans="1:19">
      <c r="A154" s="8" t="s">
        <v>141</v>
      </c>
      <c r="B154" s="7">
        <v>133</v>
      </c>
      <c r="C154" s="7">
        <v>4.7</v>
      </c>
      <c r="D154" s="7">
        <v>465</v>
      </c>
      <c r="E154" s="7">
        <v>352</v>
      </c>
      <c r="F154" s="7">
        <v>106.02</v>
      </c>
      <c r="G154" s="8" t="s">
        <v>20</v>
      </c>
      <c r="H154" s="7">
        <v>2253</v>
      </c>
      <c r="I154" s="14">
        <f t="shared" si="20"/>
        <v>13892.9081123375</v>
      </c>
      <c r="J154" s="15">
        <f t="shared" si="21"/>
        <v>1894.41178604118</v>
      </c>
      <c r="K154" s="15">
        <f t="shared" si="22"/>
        <v>11998.4963262963</v>
      </c>
      <c r="L154" s="15">
        <f t="shared" si="23"/>
        <v>0.136358188704845</v>
      </c>
      <c r="M154" s="15">
        <f t="shared" si="24"/>
        <v>0.157887433101874</v>
      </c>
      <c r="N154" s="16">
        <f t="shared" si="25"/>
        <v>28.2978723404255</v>
      </c>
      <c r="O154" s="16">
        <f t="shared" si="26"/>
        <v>666832.948686496</v>
      </c>
      <c r="P154" s="16">
        <f t="shared" si="27"/>
        <v>1272080.58051393</v>
      </c>
      <c r="Q154" s="16">
        <f t="shared" si="28"/>
        <v>3.32012827768346</v>
      </c>
      <c r="R154" s="16">
        <f t="shared" si="29"/>
        <v>0.524206531332386</v>
      </c>
      <c r="S154" s="16">
        <v>13.984962406015</v>
      </c>
    </row>
    <row r="155" spans="1:19">
      <c r="A155" s="8" t="s">
        <v>142</v>
      </c>
      <c r="B155" s="7">
        <v>127</v>
      </c>
      <c r="C155" s="7">
        <v>7</v>
      </c>
      <c r="D155" s="7">
        <v>445</v>
      </c>
      <c r="E155" s="7">
        <v>429</v>
      </c>
      <c r="F155" s="7">
        <v>106.02</v>
      </c>
      <c r="G155" s="8" t="s">
        <v>20</v>
      </c>
      <c r="H155" s="7">
        <v>3404</v>
      </c>
      <c r="I155" s="14">
        <f t="shared" si="20"/>
        <v>12667.6869774374</v>
      </c>
      <c r="J155" s="15">
        <f t="shared" si="21"/>
        <v>2638.93782901543</v>
      </c>
      <c r="K155" s="15">
        <f t="shared" si="22"/>
        <v>10028.749148422</v>
      </c>
      <c r="L155" s="15">
        <f t="shared" si="23"/>
        <v>0.208320416640833</v>
      </c>
      <c r="M155" s="15">
        <f t="shared" si="24"/>
        <v>0.263137285613595</v>
      </c>
      <c r="N155" s="16">
        <f t="shared" si="25"/>
        <v>18.1428571428571</v>
      </c>
      <c r="O155" s="16">
        <f t="shared" si="26"/>
        <v>1132104.32864762</v>
      </c>
      <c r="P155" s="16">
        <f t="shared" si="27"/>
        <v>1063247.9847157</v>
      </c>
      <c r="Q155" s="16">
        <f t="shared" si="28"/>
        <v>4.04640633842671</v>
      </c>
      <c r="R155" s="16">
        <f t="shared" si="29"/>
        <v>1.06476038038325</v>
      </c>
      <c r="S155" s="16">
        <v>14.0157480314961</v>
      </c>
    </row>
    <row r="156" spans="1:19">
      <c r="A156" s="8" t="s">
        <v>143</v>
      </c>
      <c r="B156" s="7">
        <v>127</v>
      </c>
      <c r="C156" s="7">
        <v>7</v>
      </c>
      <c r="D156" s="7">
        <v>445</v>
      </c>
      <c r="E156" s="7">
        <v>429</v>
      </c>
      <c r="F156" s="7">
        <v>106.02</v>
      </c>
      <c r="G156" s="8" t="s">
        <v>20</v>
      </c>
      <c r="H156" s="7">
        <v>3370</v>
      </c>
      <c r="I156" s="14">
        <f t="shared" si="20"/>
        <v>12667.6869774374</v>
      </c>
      <c r="J156" s="15">
        <f t="shared" si="21"/>
        <v>2638.93782901543</v>
      </c>
      <c r="K156" s="15">
        <f t="shared" si="22"/>
        <v>10028.749148422</v>
      </c>
      <c r="L156" s="15">
        <f t="shared" si="23"/>
        <v>0.208320416640833</v>
      </c>
      <c r="M156" s="15">
        <f t="shared" si="24"/>
        <v>0.263137285613595</v>
      </c>
      <c r="N156" s="16">
        <f t="shared" si="25"/>
        <v>18.1428571428571</v>
      </c>
      <c r="O156" s="16">
        <f t="shared" si="26"/>
        <v>1132104.32864762</v>
      </c>
      <c r="P156" s="16">
        <f t="shared" si="27"/>
        <v>1063247.9847157</v>
      </c>
      <c r="Q156" s="16">
        <f t="shared" si="28"/>
        <v>4.04640633842671</v>
      </c>
      <c r="R156" s="16">
        <f t="shared" si="29"/>
        <v>1.06476038038325</v>
      </c>
      <c r="S156" s="16">
        <v>14.0157480314961</v>
      </c>
    </row>
    <row r="157" spans="1:19">
      <c r="A157" s="8" t="s">
        <v>144</v>
      </c>
      <c r="B157" s="7">
        <v>127</v>
      </c>
      <c r="C157" s="7">
        <v>7</v>
      </c>
      <c r="D157" s="7">
        <v>445</v>
      </c>
      <c r="E157" s="7">
        <v>429</v>
      </c>
      <c r="F157" s="7">
        <v>106.02</v>
      </c>
      <c r="G157" s="8" t="s">
        <v>20</v>
      </c>
      <c r="H157" s="7">
        <v>3364</v>
      </c>
      <c r="I157" s="14">
        <f t="shared" si="20"/>
        <v>12667.6869774374</v>
      </c>
      <c r="J157" s="15">
        <f t="shared" si="21"/>
        <v>2638.93782901543</v>
      </c>
      <c r="K157" s="15">
        <f t="shared" si="22"/>
        <v>10028.749148422</v>
      </c>
      <c r="L157" s="15">
        <f t="shared" si="23"/>
        <v>0.208320416640833</v>
      </c>
      <c r="M157" s="15">
        <f t="shared" si="24"/>
        <v>0.263137285613595</v>
      </c>
      <c r="N157" s="16">
        <f t="shared" si="25"/>
        <v>18.1428571428571</v>
      </c>
      <c r="O157" s="16">
        <f t="shared" si="26"/>
        <v>1132104.32864762</v>
      </c>
      <c r="P157" s="16">
        <f t="shared" si="27"/>
        <v>1063247.9847157</v>
      </c>
      <c r="Q157" s="16">
        <f t="shared" si="28"/>
        <v>4.04640633842671</v>
      </c>
      <c r="R157" s="16">
        <f t="shared" si="29"/>
        <v>1.06476038038325</v>
      </c>
      <c r="S157" s="16">
        <v>14.0157480314961</v>
      </c>
    </row>
    <row r="158" spans="1:19">
      <c r="A158" s="8" t="s">
        <v>145</v>
      </c>
      <c r="B158" s="7">
        <v>108</v>
      </c>
      <c r="C158" s="7">
        <v>4.5</v>
      </c>
      <c r="D158" s="7">
        <v>378</v>
      </c>
      <c r="E158" s="7">
        <v>358</v>
      </c>
      <c r="F158" s="7">
        <v>77.4</v>
      </c>
      <c r="G158" s="8" t="s">
        <v>20</v>
      </c>
      <c r="H158" s="7">
        <v>1535</v>
      </c>
      <c r="I158" s="14">
        <f t="shared" si="20"/>
        <v>9160.88417786784</v>
      </c>
      <c r="J158" s="15">
        <f t="shared" si="21"/>
        <v>1463.19677840945</v>
      </c>
      <c r="K158" s="15">
        <f t="shared" si="22"/>
        <v>7697.68739945839</v>
      </c>
      <c r="L158" s="15">
        <f t="shared" si="23"/>
        <v>0.159722222222222</v>
      </c>
      <c r="M158" s="15">
        <f t="shared" si="24"/>
        <v>0.190082644628099</v>
      </c>
      <c r="N158" s="16">
        <f t="shared" si="25"/>
        <v>24</v>
      </c>
      <c r="O158" s="16">
        <f t="shared" si="26"/>
        <v>523824.446670582</v>
      </c>
      <c r="P158" s="16">
        <f t="shared" si="27"/>
        <v>595801.004718079</v>
      </c>
      <c r="Q158" s="16">
        <f t="shared" si="28"/>
        <v>4.62532299741602</v>
      </c>
      <c r="R158" s="16">
        <f t="shared" si="29"/>
        <v>0.879193627608004</v>
      </c>
      <c r="S158" s="16">
        <v>14</v>
      </c>
    </row>
    <row r="159" spans="1:19">
      <c r="A159" s="8" t="s">
        <v>146</v>
      </c>
      <c r="B159" s="7">
        <v>108</v>
      </c>
      <c r="C159" s="7">
        <v>4.5</v>
      </c>
      <c r="D159" s="7">
        <v>378</v>
      </c>
      <c r="E159" s="7">
        <v>358</v>
      </c>
      <c r="F159" s="7">
        <v>77.4</v>
      </c>
      <c r="G159" s="8" t="s">
        <v>20</v>
      </c>
      <c r="H159" s="7">
        <v>1578</v>
      </c>
      <c r="I159" s="14">
        <f t="shared" si="20"/>
        <v>9160.88417786784</v>
      </c>
      <c r="J159" s="15">
        <f t="shared" si="21"/>
        <v>1463.19677840945</v>
      </c>
      <c r="K159" s="15">
        <f t="shared" si="22"/>
        <v>7697.68739945839</v>
      </c>
      <c r="L159" s="15">
        <f t="shared" si="23"/>
        <v>0.159722222222222</v>
      </c>
      <c r="M159" s="15">
        <f t="shared" si="24"/>
        <v>0.190082644628099</v>
      </c>
      <c r="N159" s="16">
        <f t="shared" si="25"/>
        <v>24</v>
      </c>
      <c r="O159" s="16">
        <f t="shared" si="26"/>
        <v>523824.446670582</v>
      </c>
      <c r="P159" s="16">
        <f t="shared" si="27"/>
        <v>595801.004718079</v>
      </c>
      <c r="Q159" s="16">
        <f t="shared" si="28"/>
        <v>4.62532299741602</v>
      </c>
      <c r="R159" s="16">
        <f t="shared" si="29"/>
        <v>0.879193627608004</v>
      </c>
      <c r="S159" s="16">
        <v>14</v>
      </c>
    </row>
    <row r="160" spans="1:19">
      <c r="A160" s="8" t="s">
        <v>147</v>
      </c>
      <c r="B160" s="7">
        <v>108</v>
      </c>
      <c r="C160" s="7">
        <v>4.5</v>
      </c>
      <c r="D160" s="7">
        <v>378</v>
      </c>
      <c r="E160" s="7">
        <v>358</v>
      </c>
      <c r="F160" s="7">
        <v>77.4</v>
      </c>
      <c r="G160" s="8" t="s">
        <v>20</v>
      </c>
      <c r="H160" s="7">
        <v>1518</v>
      </c>
      <c r="I160" s="14">
        <f t="shared" si="20"/>
        <v>9160.88417786784</v>
      </c>
      <c r="J160" s="15">
        <f t="shared" si="21"/>
        <v>1463.19677840945</v>
      </c>
      <c r="K160" s="15">
        <f t="shared" si="22"/>
        <v>7697.68739945839</v>
      </c>
      <c r="L160" s="15">
        <f t="shared" si="23"/>
        <v>0.159722222222222</v>
      </c>
      <c r="M160" s="15">
        <f t="shared" si="24"/>
        <v>0.190082644628099</v>
      </c>
      <c r="N160" s="16">
        <f t="shared" si="25"/>
        <v>24</v>
      </c>
      <c r="O160" s="16">
        <f t="shared" si="26"/>
        <v>523824.446670582</v>
      </c>
      <c r="P160" s="16">
        <f t="shared" si="27"/>
        <v>595801.004718079</v>
      </c>
      <c r="Q160" s="16">
        <f t="shared" si="28"/>
        <v>4.62532299741602</v>
      </c>
      <c r="R160" s="16">
        <f t="shared" si="29"/>
        <v>0.879193627608004</v>
      </c>
      <c r="S160" s="16">
        <v>14</v>
      </c>
    </row>
    <row r="161" spans="1:19">
      <c r="A161" s="8" t="s">
        <v>148</v>
      </c>
      <c r="B161" s="7">
        <v>100</v>
      </c>
      <c r="C161" s="7">
        <v>2.5</v>
      </c>
      <c r="D161" s="7">
        <v>300</v>
      </c>
      <c r="E161" s="7">
        <v>433.2</v>
      </c>
      <c r="F161" s="7">
        <v>45.77</v>
      </c>
      <c r="G161" s="8" t="s">
        <v>20</v>
      </c>
      <c r="H161" s="7">
        <v>828</v>
      </c>
      <c r="I161" s="14">
        <f t="shared" si="20"/>
        <v>7853.98163397448</v>
      </c>
      <c r="J161" s="15">
        <f t="shared" si="21"/>
        <v>765.763209312512</v>
      </c>
      <c r="K161" s="15">
        <f t="shared" si="22"/>
        <v>7088.21842466197</v>
      </c>
      <c r="L161" s="15">
        <f t="shared" si="23"/>
        <v>0.0975</v>
      </c>
      <c r="M161" s="15">
        <f t="shared" si="24"/>
        <v>0.10803324099723</v>
      </c>
      <c r="N161" s="16">
        <f t="shared" si="25"/>
        <v>40</v>
      </c>
      <c r="O161" s="16">
        <f t="shared" si="26"/>
        <v>331728.62227418</v>
      </c>
      <c r="P161" s="16">
        <f t="shared" si="27"/>
        <v>324427.757296778</v>
      </c>
      <c r="Q161" s="16">
        <f t="shared" si="28"/>
        <v>9.46471487874153</v>
      </c>
      <c r="R161" s="16">
        <f t="shared" si="29"/>
        <v>1.02250382346515</v>
      </c>
      <c r="S161" s="16">
        <v>12</v>
      </c>
    </row>
    <row r="162" spans="1:19">
      <c r="A162" s="8" t="s">
        <v>149</v>
      </c>
      <c r="B162" s="7">
        <v>100</v>
      </c>
      <c r="C162" s="7">
        <v>3</v>
      </c>
      <c r="D162" s="7">
        <v>300</v>
      </c>
      <c r="E162" s="7">
        <v>426.3</v>
      </c>
      <c r="F162" s="7">
        <v>35.17</v>
      </c>
      <c r="G162" s="8" t="s">
        <v>20</v>
      </c>
      <c r="H162" s="7">
        <v>777</v>
      </c>
      <c r="I162" s="14">
        <f t="shared" si="20"/>
        <v>7853.98163397448</v>
      </c>
      <c r="J162" s="15">
        <f t="shared" si="21"/>
        <v>914.20346219463</v>
      </c>
      <c r="K162" s="15">
        <f t="shared" si="22"/>
        <v>6939.77817177985</v>
      </c>
      <c r="L162" s="15">
        <f t="shared" si="23"/>
        <v>0.1164</v>
      </c>
      <c r="M162" s="15">
        <f t="shared" si="24"/>
        <v>0.131733816206428</v>
      </c>
      <c r="N162" s="16">
        <f t="shared" si="25"/>
        <v>33.3333333333333</v>
      </c>
      <c r="O162" s="16">
        <f t="shared" si="26"/>
        <v>389724.935933571</v>
      </c>
      <c r="P162" s="16">
        <f t="shared" si="27"/>
        <v>244071.998301497</v>
      </c>
      <c r="Q162" s="16">
        <f t="shared" si="28"/>
        <v>12.1211259596247</v>
      </c>
      <c r="R162" s="16">
        <f t="shared" si="29"/>
        <v>1.59676217938016</v>
      </c>
      <c r="S162" s="16">
        <v>12</v>
      </c>
    </row>
    <row r="163" spans="1:19">
      <c r="A163" s="8" t="s">
        <v>150</v>
      </c>
      <c r="B163" s="7">
        <v>210</v>
      </c>
      <c r="C163" s="7">
        <v>2.5</v>
      </c>
      <c r="D163" s="7">
        <v>630</v>
      </c>
      <c r="E163" s="7">
        <v>237.2</v>
      </c>
      <c r="F163" s="7">
        <v>26.56</v>
      </c>
      <c r="G163" s="8" t="s">
        <v>20</v>
      </c>
      <c r="H163" s="7">
        <v>1637</v>
      </c>
      <c r="I163" s="14">
        <f t="shared" si="20"/>
        <v>34636.0590058275</v>
      </c>
      <c r="J163" s="15">
        <f t="shared" si="21"/>
        <v>1629.70118904971</v>
      </c>
      <c r="K163" s="15">
        <f t="shared" si="22"/>
        <v>33006.3578167778</v>
      </c>
      <c r="L163" s="15">
        <f t="shared" si="23"/>
        <v>0.0470521541950113</v>
      </c>
      <c r="M163" s="15">
        <f t="shared" si="24"/>
        <v>0.0493753718024985</v>
      </c>
      <c r="N163" s="16">
        <f t="shared" si="25"/>
        <v>84</v>
      </c>
      <c r="O163" s="16">
        <f t="shared" si="26"/>
        <v>386565.12204259</v>
      </c>
      <c r="P163" s="16">
        <f t="shared" si="27"/>
        <v>876648.863613617</v>
      </c>
      <c r="Q163" s="16">
        <f t="shared" si="28"/>
        <v>8.93072289156627</v>
      </c>
      <c r="R163" s="16">
        <f t="shared" si="29"/>
        <v>0.440957763236169</v>
      </c>
      <c r="S163" s="16">
        <v>12</v>
      </c>
    </row>
    <row r="164" s="1" customFormat="1" spans="1:19">
      <c r="A164" s="8" t="s">
        <v>151</v>
      </c>
      <c r="B164" s="7">
        <v>100</v>
      </c>
      <c r="C164" s="7">
        <v>2.5</v>
      </c>
      <c r="D164" s="7">
        <v>300</v>
      </c>
      <c r="E164" s="7">
        <v>244</v>
      </c>
      <c r="F164" s="7">
        <v>34.85</v>
      </c>
      <c r="G164" s="8" t="s">
        <v>20</v>
      </c>
      <c r="H164" s="7">
        <v>670</v>
      </c>
      <c r="I164" s="14">
        <f t="shared" si="20"/>
        <v>7853.98163397448</v>
      </c>
      <c r="J164" s="15">
        <f t="shared" si="21"/>
        <v>765.763209312512</v>
      </c>
      <c r="K164" s="15">
        <f t="shared" si="22"/>
        <v>7088.21842466197</v>
      </c>
      <c r="L164" s="15">
        <f t="shared" si="23"/>
        <v>0.0975</v>
      </c>
      <c r="M164" s="15">
        <f t="shared" si="24"/>
        <v>0.10803324099723</v>
      </c>
      <c r="N164" s="16">
        <f t="shared" si="25"/>
        <v>40</v>
      </c>
      <c r="O164" s="16">
        <f t="shared" si="26"/>
        <v>186846.223072253</v>
      </c>
      <c r="P164" s="16">
        <f t="shared" si="27"/>
        <v>247024.41209947</v>
      </c>
      <c r="Q164" s="16">
        <f t="shared" si="28"/>
        <v>7.00143472022955</v>
      </c>
      <c r="R164" s="16">
        <f t="shared" si="29"/>
        <v>0.756387684456933</v>
      </c>
      <c r="S164" s="16">
        <v>12</v>
      </c>
    </row>
    <row r="165" s="1" customFormat="1" spans="1:19">
      <c r="A165" s="8" t="s">
        <v>152</v>
      </c>
      <c r="B165" s="7">
        <v>100</v>
      </c>
      <c r="C165" s="7">
        <v>2</v>
      </c>
      <c r="D165" s="7">
        <v>300</v>
      </c>
      <c r="E165" s="7">
        <v>236.2</v>
      </c>
      <c r="F165" s="7">
        <v>34.85</v>
      </c>
      <c r="G165" s="8" t="s">
        <v>20</v>
      </c>
      <c r="H165" s="7">
        <v>537</v>
      </c>
      <c r="I165" s="14">
        <f t="shared" si="20"/>
        <v>7853.98163397448</v>
      </c>
      <c r="J165" s="15">
        <f t="shared" si="21"/>
        <v>615.752160103599</v>
      </c>
      <c r="K165" s="15">
        <f t="shared" si="22"/>
        <v>7238.22947387088</v>
      </c>
      <c r="L165" s="15">
        <f t="shared" si="23"/>
        <v>0.0784</v>
      </c>
      <c r="M165" s="15">
        <f t="shared" si="24"/>
        <v>0.0850694444444444</v>
      </c>
      <c r="N165" s="16">
        <f t="shared" si="25"/>
        <v>50</v>
      </c>
      <c r="O165" s="16">
        <f t="shared" si="26"/>
        <v>145440.66021647</v>
      </c>
      <c r="P165" s="16">
        <f t="shared" si="27"/>
        <v>252252.2971644</v>
      </c>
      <c r="Q165" s="16">
        <f t="shared" si="28"/>
        <v>6.77761836441894</v>
      </c>
      <c r="R165" s="16">
        <f t="shared" si="29"/>
        <v>0.576568228917583</v>
      </c>
      <c r="S165" s="16">
        <v>12</v>
      </c>
    </row>
    <row r="166" s="1" customFormat="1" spans="1:19">
      <c r="A166" s="8" t="s">
        <v>153</v>
      </c>
      <c r="B166" s="7">
        <v>100</v>
      </c>
      <c r="C166" s="7">
        <v>1.5</v>
      </c>
      <c r="D166" s="7">
        <v>300</v>
      </c>
      <c r="E166" s="7">
        <v>232.3</v>
      </c>
      <c r="F166" s="7">
        <v>34.85</v>
      </c>
      <c r="G166" s="8" t="s">
        <v>20</v>
      </c>
      <c r="H166" s="7">
        <v>505</v>
      </c>
      <c r="I166" s="14">
        <f t="shared" si="20"/>
        <v>7853.98163397448</v>
      </c>
      <c r="J166" s="15">
        <f t="shared" si="21"/>
        <v>464.170314567892</v>
      </c>
      <c r="K166" s="15">
        <f t="shared" si="22"/>
        <v>7389.81131940659</v>
      </c>
      <c r="L166" s="15">
        <f t="shared" si="23"/>
        <v>0.0591</v>
      </c>
      <c r="M166" s="15">
        <f t="shared" si="24"/>
        <v>0.0628122010840684</v>
      </c>
      <c r="N166" s="16">
        <f t="shared" si="25"/>
        <v>66.6666666666667</v>
      </c>
      <c r="O166" s="16">
        <f t="shared" si="26"/>
        <v>107826.764074121</v>
      </c>
      <c r="P166" s="16">
        <f t="shared" si="27"/>
        <v>257534.92448132</v>
      </c>
      <c r="Q166" s="16">
        <f t="shared" si="28"/>
        <v>6.66571018651363</v>
      </c>
      <c r="R166" s="16">
        <f t="shared" si="29"/>
        <v>0.418687928603417</v>
      </c>
      <c r="S166" s="16">
        <v>12</v>
      </c>
    </row>
    <row r="167" spans="1:19">
      <c r="A167" s="8" t="s">
        <v>154</v>
      </c>
      <c r="B167" s="7">
        <v>92</v>
      </c>
      <c r="C167" s="7">
        <v>3</v>
      </c>
      <c r="D167" s="7">
        <v>276</v>
      </c>
      <c r="E167" s="7">
        <v>260.7</v>
      </c>
      <c r="F167" s="7">
        <v>23.37</v>
      </c>
      <c r="G167" s="8" t="s">
        <v>20</v>
      </c>
      <c r="H167" s="7">
        <v>538</v>
      </c>
      <c r="I167" s="14">
        <f t="shared" si="20"/>
        <v>6647.610054996</v>
      </c>
      <c r="J167" s="15">
        <f t="shared" si="21"/>
        <v>838.805238508475</v>
      </c>
      <c r="K167" s="15">
        <f t="shared" si="22"/>
        <v>5808.80481648753</v>
      </c>
      <c r="L167" s="15">
        <f t="shared" si="23"/>
        <v>0.126181474480151</v>
      </c>
      <c r="M167" s="15">
        <f t="shared" si="24"/>
        <v>0.144402379664684</v>
      </c>
      <c r="N167" s="16">
        <f t="shared" si="25"/>
        <v>30.6666666666667</v>
      </c>
      <c r="O167" s="16">
        <f t="shared" si="26"/>
        <v>218676.525679159</v>
      </c>
      <c r="P167" s="16">
        <f t="shared" si="27"/>
        <v>135751.768561314</v>
      </c>
      <c r="Q167" s="16">
        <f t="shared" si="28"/>
        <v>11.1553273427471</v>
      </c>
      <c r="R167" s="16">
        <f t="shared" si="29"/>
        <v>1.61085581423119</v>
      </c>
      <c r="S167" s="16">
        <v>12</v>
      </c>
    </row>
    <row r="168" spans="1:19">
      <c r="A168" s="8" t="s">
        <v>155</v>
      </c>
      <c r="B168" s="7">
        <v>108</v>
      </c>
      <c r="C168" s="7">
        <v>4</v>
      </c>
      <c r="D168" s="7">
        <v>324</v>
      </c>
      <c r="E168" s="7">
        <v>332</v>
      </c>
      <c r="F168" s="7">
        <v>41.17</v>
      </c>
      <c r="G168" s="8" t="s">
        <v>20</v>
      </c>
      <c r="H168" s="7">
        <v>970</v>
      </c>
      <c r="I168" s="14">
        <f t="shared" si="20"/>
        <v>9160.88417786784</v>
      </c>
      <c r="J168" s="15">
        <f t="shared" si="21"/>
        <v>1306.90254389335</v>
      </c>
      <c r="K168" s="15">
        <f t="shared" si="22"/>
        <v>7853.98163397448</v>
      </c>
      <c r="L168" s="15">
        <f t="shared" si="23"/>
        <v>0.142661179698217</v>
      </c>
      <c r="M168" s="15">
        <f t="shared" si="24"/>
        <v>0.1664</v>
      </c>
      <c r="N168" s="16">
        <f t="shared" si="25"/>
        <v>27</v>
      </c>
      <c r="O168" s="16">
        <f t="shared" si="26"/>
        <v>433891.644572594</v>
      </c>
      <c r="P168" s="16">
        <f t="shared" si="27"/>
        <v>323348.423870729</v>
      </c>
      <c r="Q168" s="16">
        <f t="shared" si="28"/>
        <v>8.06412436239981</v>
      </c>
      <c r="R168" s="16">
        <f t="shared" si="29"/>
        <v>1.34187029390333</v>
      </c>
      <c r="S168" s="16">
        <v>12</v>
      </c>
    </row>
    <row r="169" spans="1:19">
      <c r="A169" s="8" t="s">
        <v>156</v>
      </c>
      <c r="B169" s="7">
        <v>100</v>
      </c>
      <c r="C169" s="7">
        <v>2.5</v>
      </c>
      <c r="D169" s="7">
        <v>300</v>
      </c>
      <c r="E169" s="7">
        <v>433.2</v>
      </c>
      <c r="F169" s="7">
        <v>48.35</v>
      </c>
      <c r="G169" s="8" t="s">
        <v>20</v>
      </c>
      <c r="H169" s="7">
        <v>828</v>
      </c>
      <c r="I169" s="14">
        <f t="shared" si="20"/>
        <v>7853.98163397448</v>
      </c>
      <c r="J169" s="15">
        <f t="shared" si="21"/>
        <v>765.763209312512</v>
      </c>
      <c r="K169" s="15">
        <f t="shared" si="22"/>
        <v>7088.21842466197</v>
      </c>
      <c r="L169" s="15">
        <f t="shared" si="23"/>
        <v>0.0975</v>
      </c>
      <c r="M169" s="15">
        <f t="shared" si="24"/>
        <v>0.10803324099723</v>
      </c>
      <c r="N169" s="16">
        <f t="shared" si="25"/>
        <v>40</v>
      </c>
      <c r="O169" s="16">
        <f t="shared" si="26"/>
        <v>331728.62227418</v>
      </c>
      <c r="P169" s="16">
        <f t="shared" si="27"/>
        <v>342715.360832406</v>
      </c>
      <c r="Q169" s="16">
        <f t="shared" si="28"/>
        <v>8.95966907962771</v>
      </c>
      <c r="R169" s="16">
        <f t="shared" si="29"/>
        <v>0.96794208893485</v>
      </c>
      <c r="S169" s="16">
        <v>12</v>
      </c>
    </row>
    <row r="170" spans="1:19">
      <c r="A170" s="8" t="s">
        <v>157</v>
      </c>
      <c r="B170" s="7">
        <v>210</v>
      </c>
      <c r="C170" s="7">
        <v>2.5</v>
      </c>
      <c r="D170" s="7">
        <v>630</v>
      </c>
      <c r="E170" s="7">
        <v>237.2</v>
      </c>
      <c r="F170" s="7">
        <v>27.82</v>
      </c>
      <c r="G170" s="8" t="s">
        <v>20</v>
      </c>
      <c r="H170" s="7">
        <v>1637</v>
      </c>
      <c r="I170" s="14">
        <f t="shared" si="20"/>
        <v>34636.0590058275</v>
      </c>
      <c r="J170" s="15">
        <f t="shared" si="21"/>
        <v>1629.70118904971</v>
      </c>
      <c r="K170" s="15">
        <f t="shared" si="22"/>
        <v>33006.3578167778</v>
      </c>
      <c r="L170" s="15">
        <f t="shared" si="23"/>
        <v>0.0470521541950113</v>
      </c>
      <c r="M170" s="15">
        <f t="shared" si="24"/>
        <v>0.0493753718024985</v>
      </c>
      <c r="N170" s="16">
        <f t="shared" si="25"/>
        <v>84</v>
      </c>
      <c r="O170" s="16">
        <f t="shared" si="26"/>
        <v>386565.12204259</v>
      </c>
      <c r="P170" s="16">
        <f t="shared" si="27"/>
        <v>918236.874462757</v>
      </c>
      <c r="Q170" s="16">
        <f t="shared" si="28"/>
        <v>8.52624011502516</v>
      </c>
      <c r="R170" s="16">
        <f t="shared" si="29"/>
        <v>0.420986275756745</v>
      </c>
      <c r="S170" s="16">
        <v>12</v>
      </c>
    </row>
    <row r="171" spans="1:19">
      <c r="A171" s="8" t="s">
        <v>158</v>
      </c>
      <c r="B171" s="7">
        <v>100</v>
      </c>
      <c r="C171" s="7">
        <v>2.5</v>
      </c>
      <c r="D171" s="7">
        <v>300</v>
      </c>
      <c r="E171" s="7">
        <v>244</v>
      </c>
      <c r="F171" s="7">
        <v>36.19</v>
      </c>
      <c r="G171" s="8" t="s">
        <v>20</v>
      </c>
      <c r="H171" s="7">
        <v>670</v>
      </c>
      <c r="I171" s="14">
        <f t="shared" si="20"/>
        <v>7853.98163397448</v>
      </c>
      <c r="J171" s="15">
        <f t="shared" si="21"/>
        <v>765.763209312512</v>
      </c>
      <c r="K171" s="15">
        <f t="shared" si="22"/>
        <v>7088.21842466197</v>
      </c>
      <c r="L171" s="15">
        <f t="shared" si="23"/>
        <v>0.0975</v>
      </c>
      <c r="M171" s="15">
        <f t="shared" si="24"/>
        <v>0.10803324099723</v>
      </c>
      <c r="N171" s="16">
        <f t="shared" si="25"/>
        <v>40</v>
      </c>
      <c r="O171" s="16">
        <f t="shared" si="26"/>
        <v>186846.223072253</v>
      </c>
      <c r="P171" s="16">
        <f t="shared" si="27"/>
        <v>256522.624788517</v>
      </c>
      <c r="Q171" s="16">
        <f t="shared" si="28"/>
        <v>6.74219397623653</v>
      </c>
      <c r="R171" s="16">
        <f t="shared" si="29"/>
        <v>0.728381066684833</v>
      </c>
      <c r="S171" s="16">
        <v>12</v>
      </c>
    </row>
    <row r="172" spans="1:19">
      <c r="A172" s="8" t="s">
        <v>159</v>
      </c>
      <c r="B172" s="7">
        <v>100</v>
      </c>
      <c r="C172" s="7">
        <v>1.5</v>
      </c>
      <c r="D172" s="7">
        <v>300</v>
      </c>
      <c r="E172" s="7">
        <v>232.3</v>
      </c>
      <c r="F172" s="7">
        <v>36.19</v>
      </c>
      <c r="G172" s="8" t="s">
        <v>20</v>
      </c>
      <c r="H172" s="7">
        <v>505</v>
      </c>
      <c r="I172" s="14">
        <f t="shared" si="20"/>
        <v>7853.98163397448</v>
      </c>
      <c r="J172" s="15">
        <f t="shared" si="21"/>
        <v>464.170314567892</v>
      </c>
      <c r="K172" s="15">
        <f t="shared" si="22"/>
        <v>7389.81131940659</v>
      </c>
      <c r="L172" s="15">
        <f t="shared" si="23"/>
        <v>0.0591</v>
      </c>
      <c r="M172" s="15">
        <f t="shared" si="24"/>
        <v>0.0628122010840684</v>
      </c>
      <c r="N172" s="16">
        <f t="shared" si="25"/>
        <v>66.6666666666667</v>
      </c>
      <c r="O172" s="16">
        <f t="shared" si="26"/>
        <v>107826.764074121</v>
      </c>
      <c r="P172" s="16">
        <f t="shared" si="27"/>
        <v>267437.271649325</v>
      </c>
      <c r="Q172" s="16">
        <f t="shared" si="28"/>
        <v>6.41890024868748</v>
      </c>
      <c r="R172" s="16">
        <f t="shared" si="29"/>
        <v>0.403185253159135</v>
      </c>
      <c r="S172" s="16">
        <v>12</v>
      </c>
    </row>
    <row r="173" spans="1:19">
      <c r="A173" s="8" t="s">
        <v>160</v>
      </c>
      <c r="B173" s="7">
        <v>100</v>
      </c>
      <c r="C173" s="7">
        <v>2</v>
      </c>
      <c r="D173" s="7">
        <v>300</v>
      </c>
      <c r="E173" s="7">
        <v>236.2</v>
      </c>
      <c r="F173" s="7">
        <v>36.19</v>
      </c>
      <c r="G173" s="8" t="s">
        <v>20</v>
      </c>
      <c r="H173" s="7">
        <v>537</v>
      </c>
      <c r="I173" s="14">
        <f t="shared" si="20"/>
        <v>7853.98163397448</v>
      </c>
      <c r="J173" s="15">
        <f t="shared" si="21"/>
        <v>615.752160103599</v>
      </c>
      <c r="K173" s="15">
        <f t="shared" si="22"/>
        <v>7238.22947387088</v>
      </c>
      <c r="L173" s="15">
        <f t="shared" si="23"/>
        <v>0.0784</v>
      </c>
      <c r="M173" s="15">
        <f t="shared" si="24"/>
        <v>0.0850694444444444</v>
      </c>
      <c r="N173" s="16">
        <f t="shared" si="25"/>
        <v>50</v>
      </c>
      <c r="O173" s="16">
        <f t="shared" si="26"/>
        <v>145440.66021647</v>
      </c>
      <c r="P173" s="16">
        <f t="shared" si="27"/>
        <v>261951.524659387</v>
      </c>
      <c r="Q173" s="16">
        <f t="shared" si="28"/>
        <v>6.52666482453717</v>
      </c>
      <c r="R173" s="16">
        <f t="shared" si="29"/>
        <v>0.555219750698474</v>
      </c>
      <c r="S173" s="16">
        <v>12</v>
      </c>
    </row>
    <row r="174" spans="1:19">
      <c r="A174" s="8" t="s">
        <v>161</v>
      </c>
      <c r="B174" s="7">
        <v>106</v>
      </c>
      <c r="C174" s="7">
        <v>3</v>
      </c>
      <c r="D174" s="7">
        <v>278</v>
      </c>
      <c r="E174" s="7">
        <v>298.9</v>
      </c>
      <c r="F174" s="7">
        <v>43.21</v>
      </c>
      <c r="G174" s="8" t="s">
        <v>20</v>
      </c>
      <c r="H174" s="7">
        <v>848</v>
      </c>
      <c r="I174" s="14">
        <f t="shared" si="20"/>
        <v>8824.73376393373</v>
      </c>
      <c r="J174" s="15">
        <f t="shared" si="21"/>
        <v>970.752129959246</v>
      </c>
      <c r="K174" s="15">
        <f t="shared" si="22"/>
        <v>7853.98163397448</v>
      </c>
      <c r="L174" s="15">
        <f t="shared" si="23"/>
        <v>0.11000355998576</v>
      </c>
      <c r="M174" s="15">
        <f t="shared" si="24"/>
        <v>0.1236</v>
      </c>
      <c r="N174" s="16">
        <f t="shared" si="25"/>
        <v>35.3333333333333</v>
      </c>
      <c r="O174" s="16">
        <f t="shared" si="26"/>
        <v>290157.811644819</v>
      </c>
      <c r="P174" s="16">
        <f t="shared" si="27"/>
        <v>339370.546404037</v>
      </c>
      <c r="Q174" s="16">
        <f t="shared" si="28"/>
        <v>6.91738023605647</v>
      </c>
      <c r="R174" s="16">
        <f t="shared" si="29"/>
        <v>0.854988197176579</v>
      </c>
      <c r="S174" s="16">
        <v>10.4905660377358</v>
      </c>
    </row>
    <row r="175" spans="1:19">
      <c r="A175" s="8" t="s">
        <v>162</v>
      </c>
      <c r="B175" s="7">
        <v>101.5</v>
      </c>
      <c r="C175" s="7">
        <v>3.4</v>
      </c>
      <c r="D175" s="7">
        <v>203</v>
      </c>
      <c r="E175" s="7">
        <v>602.7</v>
      </c>
      <c r="F175" s="7">
        <v>32.68</v>
      </c>
      <c r="G175" s="8" t="s">
        <v>20</v>
      </c>
      <c r="H175" s="7">
        <v>1080</v>
      </c>
      <c r="I175" s="14">
        <f t="shared" si="20"/>
        <v>8091.36822886136</v>
      </c>
      <c r="J175" s="15">
        <f t="shared" si="21"/>
        <v>1047.84681367834</v>
      </c>
      <c r="K175" s="15">
        <f t="shared" si="22"/>
        <v>7043.52141518302</v>
      </c>
      <c r="L175" s="15">
        <f t="shared" si="23"/>
        <v>0.129501807857507</v>
      </c>
      <c r="M175" s="15">
        <f t="shared" si="24"/>
        <v>0.148767463306011</v>
      </c>
      <c r="N175" s="16">
        <f t="shared" si="25"/>
        <v>29.8529411764706</v>
      </c>
      <c r="O175" s="16">
        <f t="shared" si="26"/>
        <v>631537.274603935</v>
      </c>
      <c r="P175" s="16">
        <f t="shared" si="27"/>
        <v>230182.279848181</v>
      </c>
      <c r="Q175" s="16">
        <f t="shared" si="28"/>
        <v>18.4424724602203</v>
      </c>
      <c r="R175" s="16">
        <f t="shared" si="29"/>
        <v>2.74363984499794</v>
      </c>
      <c r="S175" s="16">
        <v>8</v>
      </c>
    </row>
    <row r="176" spans="1:19">
      <c r="A176" s="8" t="s">
        <v>163</v>
      </c>
      <c r="B176" s="7">
        <v>153</v>
      </c>
      <c r="C176" s="7">
        <v>3.2</v>
      </c>
      <c r="D176" s="7">
        <v>322</v>
      </c>
      <c r="E176" s="7">
        <v>413.6</v>
      </c>
      <c r="F176" s="7">
        <v>21.54</v>
      </c>
      <c r="G176" s="8" t="s">
        <v>20</v>
      </c>
      <c r="H176" s="7">
        <v>1191</v>
      </c>
      <c r="I176" s="14">
        <f t="shared" si="20"/>
        <v>18385.3856069709</v>
      </c>
      <c r="J176" s="15">
        <f t="shared" si="21"/>
        <v>1505.95385442481</v>
      </c>
      <c r="K176" s="15">
        <f t="shared" si="22"/>
        <v>16879.4317525461</v>
      </c>
      <c r="L176" s="15">
        <f t="shared" si="23"/>
        <v>0.0819103763509762</v>
      </c>
      <c r="M176" s="15">
        <f t="shared" si="24"/>
        <v>0.0892182791756393</v>
      </c>
      <c r="N176" s="16">
        <f t="shared" si="25"/>
        <v>47.8125</v>
      </c>
      <c r="O176" s="16">
        <f t="shared" si="26"/>
        <v>622862.514190099</v>
      </c>
      <c r="P176" s="16">
        <f t="shared" si="27"/>
        <v>363582.959949842</v>
      </c>
      <c r="Q176" s="16">
        <f t="shared" si="28"/>
        <v>19.2014856081708</v>
      </c>
      <c r="R176" s="16">
        <f t="shared" si="29"/>
        <v>1.71312350357681</v>
      </c>
      <c r="S176" s="16">
        <v>8.41830065359477</v>
      </c>
    </row>
    <row r="177" spans="1:19">
      <c r="A177" s="8" t="s">
        <v>164</v>
      </c>
      <c r="B177" s="7">
        <v>76.5</v>
      </c>
      <c r="C177" s="7">
        <v>1.7</v>
      </c>
      <c r="D177" s="7">
        <v>153</v>
      </c>
      <c r="E177" s="7">
        <v>361.6</v>
      </c>
      <c r="F177" s="7">
        <v>24.37</v>
      </c>
      <c r="G177" s="8" t="s">
        <v>20</v>
      </c>
      <c r="H177" s="7">
        <v>344</v>
      </c>
      <c r="I177" s="14">
        <f t="shared" si="20"/>
        <v>4596.34640174272</v>
      </c>
      <c r="J177" s="15">
        <f t="shared" si="21"/>
        <v>399.484921830479</v>
      </c>
      <c r="K177" s="15">
        <f t="shared" si="22"/>
        <v>4196.86147991224</v>
      </c>
      <c r="L177" s="15">
        <f t="shared" si="23"/>
        <v>0.0869135802469138</v>
      </c>
      <c r="M177" s="15">
        <f t="shared" si="24"/>
        <v>0.0951865873445108</v>
      </c>
      <c r="N177" s="16">
        <f t="shared" si="25"/>
        <v>45</v>
      </c>
      <c r="O177" s="16">
        <f t="shared" si="26"/>
        <v>144453.747733901</v>
      </c>
      <c r="P177" s="16">
        <f t="shared" si="27"/>
        <v>102277.514265461</v>
      </c>
      <c r="Q177" s="16">
        <f t="shared" si="28"/>
        <v>14.83791546984</v>
      </c>
      <c r="R177" s="16">
        <f t="shared" si="29"/>
        <v>1.41237053688039</v>
      </c>
      <c r="S177" s="16">
        <v>8</v>
      </c>
    </row>
    <row r="178" spans="1:19">
      <c r="A178" s="8" t="s">
        <v>165</v>
      </c>
      <c r="B178" s="7">
        <v>300</v>
      </c>
      <c r="C178" s="7">
        <v>3</v>
      </c>
      <c r="D178" s="7">
        <v>1000</v>
      </c>
      <c r="E178" s="7">
        <v>274.4</v>
      </c>
      <c r="F178" s="7">
        <v>9.9</v>
      </c>
      <c r="G178" s="8" t="s">
        <v>20</v>
      </c>
      <c r="H178" s="7">
        <v>2636</v>
      </c>
      <c r="I178" s="14">
        <f t="shared" si="20"/>
        <v>70685.8347057704</v>
      </c>
      <c r="J178" s="15">
        <f t="shared" si="21"/>
        <v>2799.15905434851</v>
      </c>
      <c r="K178" s="15">
        <f t="shared" si="22"/>
        <v>67886.6756514218</v>
      </c>
      <c r="L178" s="15">
        <f t="shared" si="23"/>
        <v>0.0396</v>
      </c>
      <c r="M178" s="15">
        <f t="shared" si="24"/>
        <v>0.0412328196584756</v>
      </c>
      <c r="N178" s="16">
        <f t="shared" si="25"/>
        <v>100</v>
      </c>
      <c r="O178" s="16">
        <f t="shared" si="26"/>
        <v>768089.24451323</v>
      </c>
      <c r="P178" s="16">
        <f t="shared" si="27"/>
        <v>672078.088949076</v>
      </c>
      <c r="Q178" s="16">
        <f t="shared" si="28"/>
        <v>27.7171717171717</v>
      </c>
      <c r="R178" s="16">
        <f t="shared" si="29"/>
        <v>1.14285714285714</v>
      </c>
      <c r="S178" s="16">
        <v>13.3333333333333</v>
      </c>
    </row>
    <row r="179" spans="1:19">
      <c r="A179" s="8" t="s">
        <v>166</v>
      </c>
      <c r="B179" s="7">
        <v>300</v>
      </c>
      <c r="C179" s="7">
        <v>3</v>
      </c>
      <c r="D179" s="7">
        <v>1000</v>
      </c>
      <c r="E179" s="7">
        <v>274.4</v>
      </c>
      <c r="F179" s="7">
        <v>28.72</v>
      </c>
      <c r="G179" s="8" t="s">
        <v>20</v>
      </c>
      <c r="H179" s="7">
        <v>3420</v>
      </c>
      <c r="I179" s="14">
        <f t="shared" si="20"/>
        <v>70685.8347057704</v>
      </c>
      <c r="J179" s="15">
        <f t="shared" si="21"/>
        <v>2799.15905434851</v>
      </c>
      <c r="K179" s="15">
        <f t="shared" si="22"/>
        <v>67886.6756514218</v>
      </c>
      <c r="L179" s="15">
        <f t="shared" si="23"/>
        <v>0.0396</v>
      </c>
      <c r="M179" s="15">
        <f t="shared" si="24"/>
        <v>0.0412328196584756</v>
      </c>
      <c r="N179" s="16">
        <f t="shared" si="25"/>
        <v>100</v>
      </c>
      <c r="O179" s="16">
        <f t="shared" si="26"/>
        <v>768089.24451323</v>
      </c>
      <c r="P179" s="16">
        <f t="shared" si="27"/>
        <v>1949705.32470884</v>
      </c>
      <c r="Q179" s="16">
        <f t="shared" si="28"/>
        <v>9.55431754874652</v>
      </c>
      <c r="R179" s="16">
        <f t="shared" si="29"/>
        <v>0.393951452447274</v>
      </c>
      <c r="S179" s="16">
        <v>13.3333333333333</v>
      </c>
    </row>
    <row r="180" spans="1:19">
      <c r="A180" s="8" t="s">
        <v>167</v>
      </c>
      <c r="B180" s="7">
        <v>300</v>
      </c>
      <c r="C180" s="7">
        <v>3</v>
      </c>
      <c r="D180" s="7">
        <v>1000</v>
      </c>
      <c r="E180" s="7">
        <v>266.9</v>
      </c>
      <c r="F180" s="7">
        <v>24.12</v>
      </c>
      <c r="G180" s="8" t="s">
        <v>20</v>
      </c>
      <c r="H180" s="7">
        <v>3038</v>
      </c>
      <c r="I180" s="14">
        <f t="shared" si="20"/>
        <v>70685.8347057704</v>
      </c>
      <c r="J180" s="15">
        <f t="shared" si="21"/>
        <v>2799.15905434851</v>
      </c>
      <c r="K180" s="15">
        <f t="shared" si="22"/>
        <v>67886.6756514218</v>
      </c>
      <c r="L180" s="15">
        <f t="shared" si="23"/>
        <v>0.0396</v>
      </c>
      <c r="M180" s="15">
        <f t="shared" si="24"/>
        <v>0.0412328196584756</v>
      </c>
      <c r="N180" s="16">
        <f t="shared" si="25"/>
        <v>100</v>
      </c>
      <c r="O180" s="16">
        <f t="shared" si="26"/>
        <v>747095.551605616</v>
      </c>
      <c r="P180" s="16">
        <f t="shared" si="27"/>
        <v>1637426.61671229</v>
      </c>
      <c r="Q180" s="16">
        <f t="shared" si="28"/>
        <v>11.0655058043118</v>
      </c>
      <c r="R180" s="16">
        <f t="shared" si="29"/>
        <v>0.456262005259003</v>
      </c>
      <c r="S180" s="16">
        <v>13.3333333333333</v>
      </c>
    </row>
    <row r="181" spans="1:19">
      <c r="A181" s="8" t="s">
        <v>168</v>
      </c>
      <c r="B181" s="7">
        <v>92</v>
      </c>
      <c r="C181" s="7">
        <v>3</v>
      </c>
      <c r="D181" s="7">
        <v>276</v>
      </c>
      <c r="E181" s="7">
        <v>260.7</v>
      </c>
      <c r="F181" s="7">
        <v>20.71</v>
      </c>
      <c r="G181" s="8" t="s">
        <v>20</v>
      </c>
      <c r="H181" s="7">
        <v>538</v>
      </c>
      <c r="I181" s="14">
        <f t="shared" si="20"/>
        <v>6647.610054996</v>
      </c>
      <c r="J181" s="15">
        <f t="shared" si="21"/>
        <v>838.805238508475</v>
      </c>
      <c r="K181" s="15">
        <f t="shared" si="22"/>
        <v>5808.80481648753</v>
      </c>
      <c r="L181" s="15">
        <f t="shared" si="23"/>
        <v>0.126181474480151</v>
      </c>
      <c r="M181" s="15">
        <f t="shared" si="24"/>
        <v>0.144402379664684</v>
      </c>
      <c r="N181" s="16">
        <f t="shared" si="25"/>
        <v>30.6666666666667</v>
      </c>
      <c r="O181" s="16">
        <f t="shared" si="26"/>
        <v>218676.525679159</v>
      </c>
      <c r="P181" s="16">
        <f t="shared" si="27"/>
        <v>120300.347749457</v>
      </c>
      <c r="Q181" s="16">
        <f t="shared" si="28"/>
        <v>12.5881216803477</v>
      </c>
      <c r="R181" s="16">
        <f t="shared" si="29"/>
        <v>1.8177547261508</v>
      </c>
      <c r="S181" s="16">
        <v>12</v>
      </c>
    </row>
    <row r="182" spans="1:19">
      <c r="A182" s="8" t="s">
        <v>169</v>
      </c>
      <c r="B182" s="7">
        <v>108</v>
      </c>
      <c r="C182" s="7">
        <v>4.5</v>
      </c>
      <c r="D182" s="7">
        <v>324</v>
      </c>
      <c r="E182" s="7">
        <v>259.7</v>
      </c>
      <c r="F182" s="7">
        <v>20.22</v>
      </c>
      <c r="G182" s="8" t="s">
        <v>20</v>
      </c>
      <c r="H182" s="7">
        <v>931</v>
      </c>
      <c r="I182" s="14">
        <f t="shared" si="20"/>
        <v>9160.88417786784</v>
      </c>
      <c r="J182" s="15">
        <f t="shared" si="21"/>
        <v>1463.19677840945</v>
      </c>
      <c r="K182" s="15">
        <f t="shared" si="22"/>
        <v>7697.68739945839</v>
      </c>
      <c r="L182" s="15">
        <f t="shared" si="23"/>
        <v>0.159722222222222</v>
      </c>
      <c r="M182" s="15">
        <f t="shared" si="24"/>
        <v>0.190082644628099</v>
      </c>
      <c r="N182" s="16">
        <f t="shared" si="25"/>
        <v>24</v>
      </c>
      <c r="O182" s="16">
        <f t="shared" si="26"/>
        <v>379992.203352933</v>
      </c>
      <c r="P182" s="16">
        <f t="shared" si="27"/>
        <v>155647.239217049</v>
      </c>
      <c r="Q182" s="16">
        <f t="shared" si="28"/>
        <v>12.8437190900099</v>
      </c>
      <c r="R182" s="16">
        <f t="shared" si="29"/>
        <v>2.44136809148948</v>
      </c>
      <c r="S182" s="16">
        <v>12</v>
      </c>
    </row>
    <row r="183" spans="1:19">
      <c r="A183" s="8" t="s">
        <v>170</v>
      </c>
      <c r="B183" s="7">
        <v>108</v>
      </c>
      <c r="C183" s="7">
        <v>4</v>
      </c>
      <c r="D183" s="7">
        <v>324</v>
      </c>
      <c r="E183" s="7">
        <v>332</v>
      </c>
      <c r="F183" s="7">
        <v>39.23</v>
      </c>
      <c r="G183" s="8" t="s">
        <v>20</v>
      </c>
      <c r="H183" s="7">
        <v>970</v>
      </c>
      <c r="I183" s="14">
        <f t="shared" si="20"/>
        <v>9160.88417786784</v>
      </c>
      <c r="J183" s="15">
        <f t="shared" si="21"/>
        <v>1306.90254389335</v>
      </c>
      <c r="K183" s="15">
        <f t="shared" si="22"/>
        <v>7853.98163397448</v>
      </c>
      <c r="L183" s="15">
        <f t="shared" si="23"/>
        <v>0.142661179698217</v>
      </c>
      <c r="M183" s="15">
        <f t="shared" si="24"/>
        <v>0.1664</v>
      </c>
      <c r="N183" s="16">
        <f t="shared" si="25"/>
        <v>27</v>
      </c>
      <c r="O183" s="16">
        <f t="shared" si="26"/>
        <v>433891.644572594</v>
      </c>
      <c r="P183" s="16">
        <f t="shared" si="27"/>
        <v>308111.699500819</v>
      </c>
      <c r="Q183" s="16">
        <f t="shared" si="28"/>
        <v>8.46291103747132</v>
      </c>
      <c r="R183" s="16">
        <f t="shared" si="29"/>
        <v>1.40822839663523</v>
      </c>
      <c r="S183" s="16">
        <v>12</v>
      </c>
    </row>
    <row r="184" spans="1:19">
      <c r="A184" s="8" t="s">
        <v>171</v>
      </c>
      <c r="B184" s="7">
        <v>108</v>
      </c>
      <c r="C184" s="7">
        <v>4.2</v>
      </c>
      <c r="D184" s="7">
        <v>324</v>
      </c>
      <c r="E184" s="7">
        <v>259.7</v>
      </c>
      <c r="F184" s="7">
        <v>20.54</v>
      </c>
      <c r="G184" s="8" t="s">
        <v>20</v>
      </c>
      <c r="H184" s="7">
        <v>916</v>
      </c>
      <c r="I184" s="14">
        <f t="shared" si="20"/>
        <v>9160.88417786784</v>
      </c>
      <c r="J184" s="15">
        <f t="shared" si="21"/>
        <v>1369.60873325901</v>
      </c>
      <c r="K184" s="15">
        <f t="shared" si="22"/>
        <v>7791.27544460883</v>
      </c>
      <c r="L184" s="15">
        <f t="shared" si="23"/>
        <v>0.149506172839506</v>
      </c>
      <c r="M184" s="15">
        <f t="shared" si="24"/>
        <v>0.175787487298592</v>
      </c>
      <c r="N184" s="16">
        <f t="shared" si="25"/>
        <v>25.7142857142857</v>
      </c>
      <c r="O184" s="16">
        <f t="shared" si="26"/>
        <v>355687.388027364</v>
      </c>
      <c r="P184" s="16">
        <f t="shared" si="27"/>
        <v>160032.797632265</v>
      </c>
      <c r="Q184" s="16">
        <f t="shared" si="28"/>
        <v>12.6436222005842</v>
      </c>
      <c r="R184" s="16">
        <f t="shared" si="29"/>
        <v>2.2225905769934</v>
      </c>
      <c r="S184" s="16">
        <v>12</v>
      </c>
    </row>
    <row r="185" spans="1:19">
      <c r="A185" s="8" t="s">
        <v>172</v>
      </c>
      <c r="B185" s="7">
        <v>210</v>
      </c>
      <c r="C185" s="7">
        <v>2.5</v>
      </c>
      <c r="D185" s="7">
        <v>630</v>
      </c>
      <c r="E185" s="7">
        <v>237.2</v>
      </c>
      <c r="F185" s="7">
        <v>26.56</v>
      </c>
      <c r="G185" s="8" t="s">
        <v>20</v>
      </c>
      <c r="H185" s="7">
        <v>1637</v>
      </c>
      <c r="I185" s="14">
        <f t="shared" si="20"/>
        <v>34636.0590058275</v>
      </c>
      <c r="J185" s="15">
        <f t="shared" si="21"/>
        <v>1629.70118904971</v>
      </c>
      <c r="K185" s="15">
        <f t="shared" si="22"/>
        <v>33006.3578167778</v>
      </c>
      <c r="L185" s="15">
        <f t="shared" si="23"/>
        <v>0.0470521541950113</v>
      </c>
      <c r="M185" s="15">
        <f t="shared" si="24"/>
        <v>0.0493753718024985</v>
      </c>
      <c r="N185" s="16">
        <f t="shared" si="25"/>
        <v>84</v>
      </c>
      <c r="O185" s="16">
        <f t="shared" si="26"/>
        <v>386565.12204259</v>
      </c>
      <c r="P185" s="16">
        <f t="shared" si="27"/>
        <v>876648.863613617</v>
      </c>
      <c r="Q185" s="16">
        <f t="shared" si="28"/>
        <v>8.93072289156627</v>
      </c>
      <c r="R185" s="16">
        <f t="shared" si="29"/>
        <v>0.440957763236169</v>
      </c>
      <c r="S185" s="16">
        <v>12</v>
      </c>
    </row>
    <row r="186" spans="1:19">
      <c r="A186" s="8" t="s">
        <v>173</v>
      </c>
      <c r="B186" s="7">
        <v>106</v>
      </c>
      <c r="C186" s="7">
        <v>3</v>
      </c>
      <c r="D186" s="7">
        <v>418</v>
      </c>
      <c r="E186" s="7">
        <v>298.9</v>
      </c>
      <c r="F186" s="7">
        <v>36.14</v>
      </c>
      <c r="G186" s="8" t="s">
        <v>20</v>
      </c>
      <c r="H186" s="7">
        <v>736</v>
      </c>
      <c r="I186" s="14">
        <f t="shared" si="20"/>
        <v>8824.73376393373</v>
      </c>
      <c r="J186" s="15">
        <f t="shared" si="21"/>
        <v>970.752129959246</v>
      </c>
      <c r="K186" s="15">
        <f t="shared" si="22"/>
        <v>7853.98163397448</v>
      </c>
      <c r="L186" s="15">
        <f t="shared" si="23"/>
        <v>0.11000355998576</v>
      </c>
      <c r="M186" s="15">
        <f t="shared" si="24"/>
        <v>0.1236</v>
      </c>
      <c r="N186" s="16">
        <f t="shared" si="25"/>
        <v>35.3333333333333</v>
      </c>
      <c r="O186" s="16">
        <f t="shared" si="26"/>
        <v>290157.811644819</v>
      </c>
      <c r="P186" s="16">
        <f t="shared" si="27"/>
        <v>283842.896251838</v>
      </c>
      <c r="Q186" s="16">
        <f t="shared" si="28"/>
        <v>8.27061427780852</v>
      </c>
      <c r="R186" s="16">
        <f t="shared" si="29"/>
        <v>1.02224792473713</v>
      </c>
      <c r="S186" s="16">
        <v>15.7735849056604</v>
      </c>
    </row>
    <row r="187" spans="1:19">
      <c r="A187" s="8" t="s">
        <v>174</v>
      </c>
      <c r="B187" s="7">
        <v>101.6</v>
      </c>
      <c r="C187" s="7">
        <v>3.03</v>
      </c>
      <c r="D187" s="7">
        <v>305</v>
      </c>
      <c r="E187" s="7">
        <v>371</v>
      </c>
      <c r="F187" s="7">
        <v>23.2</v>
      </c>
      <c r="G187" s="8" t="s">
        <v>20</v>
      </c>
      <c r="H187" s="7">
        <v>635</v>
      </c>
      <c r="I187" s="14">
        <f t="shared" si="20"/>
        <v>8107.31966555996</v>
      </c>
      <c r="J187" s="15">
        <f t="shared" si="21"/>
        <v>938.290367228968</v>
      </c>
      <c r="K187" s="15">
        <f t="shared" si="22"/>
        <v>7169.02929833099</v>
      </c>
      <c r="L187" s="15">
        <f t="shared" si="23"/>
        <v>0.115733732717465</v>
      </c>
      <c r="M187" s="15">
        <f t="shared" si="24"/>
        <v>0.130881089779813</v>
      </c>
      <c r="N187" s="16">
        <f t="shared" si="25"/>
        <v>33.5313531353135</v>
      </c>
      <c r="O187" s="16">
        <f t="shared" si="26"/>
        <v>348105.726241947</v>
      </c>
      <c r="P187" s="16">
        <f t="shared" si="27"/>
        <v>166321.479721279</v>
      </c>
      <c r="Q187" s="16">
        <f t="shared" si="28"/>
        <v>15.9913793103448</v>
      </c>
      <c r="R187" s="16">
        <f t="shared" si="29"/>
        <v>2.09296915122028</v>
      </c>
      <c r="S187" s="16">
        <v>12.007874015748</v>
      </c>
    </row>
    <row r="188" spans="1:19">
      <c r="A188" s="8" t="s">
        <v>175</v>
      </c>
      <c r="B188" s="7">
        <v>101.8</v>
      </c>
      <c r="C188" s="7">
        <v>3.03</v>
      </c>
      <c r="D188" s="7">
        <v>305</v>
      </c>
      <c r="E188" s="7">
        <v>371</v>
      </c>
      <c r="F188" s="7">
        <v>23.2</v>
      </c>
      <c r="G188" s="8" t="s">
        <v>20</v>
      </c>
      <c r="H188" s="7">
        <v>679</v>
      </c>
      <c r="I188" s="14">
        <f t="shared" si="20"/>
        <v>8139.26966284697</v>
      </c>
      <c r="J188" s="15">
        <f t="shared" si="21"/>
        <v>940.194172377045</v>
      </c>
      <c r="K188" s="15">
        <f t="shared" si="22"/>
        <v>7199.07549046993</v>
      </c>
      <c r="L188" s="15">
        <f t="shared" si="23"/>
        <v>0.115513333667849</v>
      </c>
      <c r="M188" s="15">
        <f t="shared" si="24"/>
        <v>0.130599293426172</v>
      </c>
      <c r="N188" s="16">
        <f t="shared" si="25"/>
        <v>33.5973597359736</v>
      </c>
      <c r="O188" s="16">
        <f t="shared" si="26"/>
        <v>348812.037951884</v>
      </c>
      <c r="P188" s="16">
        <f t="shared" si="27"/>
        <v>167018.551378902</v>
      </c>
      <c r="Q188" s="16">
        <f t="shared" si="28"/>
        <v>15.9913793103448</v>
      </c>
      <c r="R188" s="16">
        <f t="shared" si="29"/>
        <v>2.08846283884094</v>
      </c>
      <c r="S188" s="16">
        <v>11.9842829076621</v>
      </c>
    </row>
    <row r="189" spans="1:19">
      <c r="A189" s="8" t="s">
        <v>176</v>
      </c>
      <c r="B189" s="7">
        <v>101.8</v>
      </c>
      <c r="C189" s="7">
        <v>3.03</v>
      </c>
      <c r="D189" s="7">
        <v>305</v>
      </c>
      <c r="E189" s="7">
        <v>371</v>
      </c>
      <c r="F189" s="7">
        <v>23.2</v>
      </c>
      <c r="G189" s="8" t="s">
        <v>20</v>
      </c>
      <c r="H189" s="7">
        <v>632</v>
      </c>
      <c r="I189" s="14">
        <f t="shared" si="20"/>
        <v>8139.26966284697</v>
      </c>
      <c r="J189" s="15">
        <f t="shared" si="21"/>
        <v>940.194172377045</v>
      </c>
      <c r="K189" s="15">
        <f t="shared" si="22"/>
        <v>7199.07549046993</v>
      </c>
      <c r="L189" s="15">
        <f t="shared" si="23"/>
        <v>0.115513333667849</v>
      </c>
      <c r="M189" s="15">
        <f t="shared" si="24"/>
        <v>0.130599293426172</v>
      </c>
      <c r="N189" s="16">
        <f t="shared" si="25"/>
        <v>33.5973597359736</v>
      </c>
      <c r="O189" s="16">
        <f t="shared" si="26"/>
        <v>348812.037951884</v>
      </c>
      <c r="P189" s="16">
        <f t="shared" si="27"/>
        <v>167018.551378902</v>
      </c>
      <c r="Q189" s="16">
        <f t="shared" si="28"/>
        <v>15.9913793103448</v>
      </c>
      <c r="R189" s="16">
        <f t="shared" si="29"/>
        <v>2.08846283884094</v>
      </c>
      <c r="S189" s="16">
        <v>11.9842829076621</v>
      </c>
    </row>
    <row r="190" spans="1:19">
      <c r="A190" s="8" t="s">
        <v>177</v>
      </c>
      <c r="B190" s="7">
        <v>216.5</v>
      </c>
      <c r="C190" s="7">
        <v>6.61</v>
      </c>
      <c r="D190" s="7">
        <v>650</v>
      </c>
      <c r="E190" s="7">
        <v>452</v>
      </c>
      <c r="F190" s="7">
        <v>24.3</v>
      </c>
      <c r="G190" s="8" t="s">
        <v>20</v>
      </c>
      <c r="H190" s="7">
        <v>3568</v>
      </c>
      <c r="I190" s="14">
        <f t="shared" si="20"/>
        <v>36813.379064306</v>
      </c>
      <c r="J190" s="15">
        <f t="shared" si="21"/>
        <v>4358.56051042957</v>
      </c>
      <c r="K190" s="15">
        <f t="shared" si="22"/>
        <v>32454.8185538765</v>
      </c>
      <c r="L190" s="15">
        <f t="shared" si="23"/>
        <v>0.118396100037869</v>
      </c>
      <c r="M190" s="15">
        <f t="shared" si="24"/>
        <v>0.134296252594793</v>
      </c>
      <c r="N190" s="16">
        <f t="shared" si="25"/>
        <v>32.7534039334342</v>
      </c>
      <c r="O190" s="16">
        <f t="shared" si="26"/>
        <v>1970069.35071416</v>
      </c>
      <c r="P190" s="16">
        <f t="shared" si="27"/>
        <v>788652.090859198</v>
      </c>
      <c r="Q190" s="16">
        <f t="shared" si="28"/>
        <v>18.6008230452675</v>
      </c>
      <c r="R190" s="16">
        <f t="shared" si="29"/>
        <v>2.49802083015829</v>
      </c>
      <c r="S190" s="16">
        <v>12.0092378752887</v>
      </c>
    </row>
    <row r="191" spans="1:19">
      <c r="A191" s="8" t="s">
        <v>178</v>
      </c>
      <c r="B191" s="7">
        <v>318.5</v>
      </c>
      <c r="C191" s="7">
        <v>10.37</v>
      </c>
      <c r="D191" s="7">
        <v>955</v>
      </c>
      <c r="E191" s="7">
        <v>335</v>
      </c>
      <c r="F191" s="7">
        <v>24.2</v>
      </c>
      <c r="G191" s="8" t="s">
        <v>20</v>
      </c>
      <c r="H191" s="7">
        <v>6901</v>
      </c>
      <c r="I191" s="14">
        <f t="shared" si="20"/>
        <v>79672.5568409048</v>
      </c>
      <c r="J191" s="15">
        <f t="shared" si="21"/>
        <v>10038.356452916</v>
      </c>
      <c r="K191" s="15">
        <f t="shared" si="22"/>
        <v>69634.2003879888</v>
      </c>
      <c r="L191" s="15">
        <f t="shared" si="23"/>
        <v>0.125995158821891</v>
      </c>
      <c r="M191" s="15">
        <f t="shared" si="24"/>
        <v>0.14415842211132</v>
      </c>
      <c r="N191" s="16">
        <f t="shared" si="25"/>
        <v>30.7135969141755</v>
      </c>
      <c r="O191" s="16">
        <f t="shared" si="26"/>
        <v>3362849.41172685</v>
      </c>
      <c r="P191" s="16">
        <f t="shared" si="27"/>
        <v>1685147.64938933</v>
      </c>
      <c r="Q191" s="16">
        <f t="shared" si="28"/>
        <v>13.8429752066116</v>
      </c>
      <c r="R191" s="16">
        <f t="shared" si="29"/>
        <v>1.99558146311125</v>
      </c>
      <c r="S191" s="16">
        <v>11.9937205651491</v>
      </c>
    </row>
    <row r="192" spans="1:19">
      <c r="A192" s="8" t="s">
        <v>179</v>
      </c>
      <c r="B192" s="7">
        <v>101.6</v>
      </c>
      <c r="C192" s="7">
        <v>3.03</v>
      </c>
      <c r="D192" s="7">
        <v>305</v>
      </c>
      <c r="E192" s="7">
        <v>371</v>
      </c>
      <c r="F192" s="7">
        <v>40.2</v>
      </c>
      <c r="G192" s="8" t="s">
        <v>20</v>
      </c>
      <c r="H192" s="7">
        <v>864</v>
      </c>
      <c r="I192" s="14">
        <f t="shared" si="20"/>
        <v>8107.31966555996</v>
      </c>
      <c r="J192" s="15">
        <f t="shared" si="21"/>
        <v>938.290367228968</v>
      </c>
      <c r="K192" s="15">
        <f t="shared" si="22"/>
        <v>7169.02929833099</v>
      </c>
      <c r="L192" s="15">
        <f t="shared" si="23"/>
        <v>0.115733732717465</v>
      </c>
      <c r="M192" s="15">
        <f t="shared" si="24"/>
        <v>0.130881089779813</v>
      </c>
      <c r="N192" s="16">
        <f t="shared" si="25"/>
        <v>33.5313531353135</v>
      </c>
      <c r="O192" s="16">
        <f t="shared" si="26"/>
        <v>348105.726241947</v>
      </c>
      <c r="P192" s="16">
        <f t="shared" si="27"/>
        <v>288194.977792906</v>
      </c>
      <c r="Q192" s="16">
        <f t="shared" si="28"/>
        <v>9.22885572139303</v>
      </c>
      <c r="R192" s="16">
        <f t="shared" si="29"/>
        <v>1.20788269423658</v>
      </c>
      <c r="S192" s="16">
        <v>12.007874015748</v>
      </c>
    </row>
    <row r="193" spans="1:19">
      <c r="A193" s="8" t="s">
        <v>180</v>
      </c>
      <c r="B193" s="7">
        <v>101.7</v>
      </c>
      <c r="C193" s="7">
        <v>3.03</v>
      </c>
      <c r="D193" s="7">
        <v>305</v>
      </c>
      <c r="E193" s="7">
        <v>371</v>
      </c>
      <c r="F193" s="7">
        <v>40.2</v>
      </c>
      <c r="G193" s="8" t="s">
        <v>20</v>
      </c>
      <c r="H193" s="7">
        <v>803</v>
      </c>
      <c r="I193" s="14">
        <f t="shared" si="20"/>
        <v>8123.28681022183</v>
      </c>
      <c r="J193" s="15">
        <f t="shared" si="21"/>
        <v>939.242269803007</v>
      </c>
      <c r="K193" s="15">
        <f t="shared" si="22"/>
        <v>7184.04454041883</v>
      </c>
      <c r="L193" s="15">
        <f t="shared" si="23"/>
        <v>0.115623428268115</v>
      </c>
      <c r="M193" s="15">
        <f t="shared" si="24"/>
        <v>0.130740039892382</v>
      </c>
      <c r="N193" s="16">
        <f t="shared" si="25"/>
        <v>33.5643564356436</v>
      </c>
      <c r="O193" s="16">
        <f t="shared" si="26"/>
        <v>348458.882096916</v>
      </c>
      <c r="P193" s="16">
        <f t="shared" si="27"/>
        <v>288798.590524837</v>
      </c>
      <c r="Q193" s="16">
        <f t="shared" si="28"/>
        <v>9.22885572139303</v>
      </c>
      <c r="R193" s="16">
        <f t="shared" si="29"/>
        <v>1.20658096517596</v>
      </c>
      <c r="S193" s="16">
        <v>11.9960668633235</v>
      </c>
    </row>
    <row r="194" spans="1:19">
      <c r="A194" s="8" t="s">
        <v>181</v>
      </c>
      <c r="B194" s="7">
        <v>216.5</v>
      </c>
      <c r="C194" s="7">
        <v>6.61</v>
      </c>
      <c r="D194" s="7">
        <v>650</v>
      </c>
      <c r="E194" s="7">
        <v>452</v>
      </c>
      <c r="F194" s="7">
        <v>38.2</v>
      </c>
      <c r="G194" s="8" t="s">
        <v>20</v>
      </c>
      <c r="H194" s="7">
        <v>4200</v>
      </c>
      <c r="I194" s="14">
        <f t="shared" si="20"/>
        <v>36813.379064306</v>
      </c>
      <c r="J194" s="15">
        <f t="shared" si="21"/>
        <v>4358.56051042957</v>
      </c>
      <c r="K194" s="15">
        <f t="shared" si="22"/>
        <v>32454.8185538765</v>
      </c>
      <c r="L194" s="15">
        <f t="shared" si="23"/>
        <v>0.118396100037869</v>
      </c>
      <c r="M194" s="15">
        <f t="shared" si="24"/>
        <v>0.134296252594793</v>
      </c>
      <c r="N194" s="16">
        <f t="shared" si="25"/>
        <v>32.7534039334342</v>
      </c>
      <c r="O194" s="16">
        <f t="shared" si="26"/>
        <v>1970069.35071416</v>
      </c>
      <c r="P194" s="16">
        <f t="shared" si="27"/>
        <v>1239774.06875808</v>
      </c>
      <c r="Q194" s="16">
        <f t="shared" si="28"/>
        <v>11.8324607329843</v>
      </c>
      <c r="R194" s="16">
        <f t="shared" si="29"/>
        <v>1.58905513541483</v>
      </c>
      <c r="S194" s="16">
        <v>12.0092378752887</v>
      </c>
    </row>
    <row r="195" spans="1:19">
      <c r="A195" s="8" t="s">
        <v>182</v>
      </c>
      <c r="B195" s="7">
        <v>318.4</v>
      </c>
      <c r="C195" s="7">
        <v>10.37</v>
      </c>
      <c r="D195" s="7">
        <v>955</v>
      </c>
      <c r="E195" s="7">
        <v>335</v>
      </c>
      <c r="F195" s="7">
        <v>39.2</v>
      </c>
      <c r="G195" s="8" t="s">
        <v>20</v>
      </c>
      <c r="H195" s="7">
        <v>7742</v>
      </c>
      <c r="I195" s="14">
        <f t="shared" ref="I195:I258" si="30">(PI()*B195^2)/4</f>
        <v>79622.534831878</v>
      </c>
      <c r="J195" s="15">
        <f t="shared" ref="J195:J258" si="31">(PI()*(B195^2-(B195-2*C195)^2))/4</f>
        <v>10035.0986213342</v>
      </c>
      <c r="K195" s="15">
        <f t="shared" ref="K195:K258" si="32">(PI()*(B195-2*C195)^2)/4</f>
        <v>69587.4362105438</v>
      </c>
      <c r="L195" s="15">
        <f t="shared" ref="L195:L258" si="33">J195/I195</f>
        <v>0.126033397988687</v>
      </c>
      <c r="M195" s="15">
        <f t="shared" ref="M195:M258" si="34">J195/K195</f>
        <v>0.144208483137272</v>
      </c>
      <c r="N195" s="16">
        <f t="shared" ref="N195:N258" si="35">B195/C195</f>
        <v>30.7039537126326</v>
      </c>
      <c r="O195" s="16">
        <f t="shared" ref="O195:O258" si="36">J195*E195</f>
        <v>3361758.03814695</v>
      </c>
      <c r="P195" s="16">
        <f t="shared" ref="P195:P258" si="37">K195*F195</f>
        <v>2727827.49945332</v>
      </c>
      <c r="Q195" s="16">
        <f t="shared" ref="Q195:Q258" si="38">E195/F195</f>
        <v>8.54591836734694</v>
      </c>
      <c r="R195" s="16">
        <f t="shared" ref="R195:R258" si="39">O195/P195</f>
        <v>1.23239392477005</v>
      </c>
      <c r="S195" s="16">
        <v>11.9974874371859</v>
      </c>
    </row>
    <row r="196" spans="1:19">
      <c r="A196" s="8" t="s">
        <v>183</v>
      </c>
      <c r="B196" s="7">
        <v>101.5</v>
      </c>
      <c r="C196" s="7">
        <v>3.03</v>
      </c>
      <c r="D196" s="7">
        <v>305</v>
      </c>
      <c r="E196" s="7">
        <v>371</v>
      </c>
      <c r="F196" s="7">
        <v>51.3</v>
      </c>
      <c r="G196" s="8" t="s">
        <v>20</v>
      </c>
      <c r="H196" s="7">
        <v>859</v>
      </c>
      <c r="I196" s="14">
        <f t="shared" si="30"/>
        <v>8091.36822886136</v>
      </c>
      <c r="J196" s="15">
        <f t="shared" si="31"/>
        <v>937.338464654931</v>
      </c>
      <c r="K196" s="15">
        <f t="shared" si="32"/>
        <v>7154.02976420643</v>
      </c>
      <c r="L196" s="15">
        <f t="shared" si="33"/>
        <v>0.115844247615812</v>
      </c>
      <c r="M196" s="15">
        <f t="shared" si="34"/>
        <v>0.131022444069871</v>
      </c>
      <c r="N196" s="16">
        <f t="shared" si="35"/>
        <v>33.4983498349835</v>
      </c>
      <c r="O196" s="16">
        <f t="shared" si="36"/>
        <v>347752.570386979</v>
      </c>
      <c r="P196" s="16">
        <f t="shared" si="37"/>
        <v>367001.72690379</v>
      </c>
      <c r="Q196" s="16">
        <f t="shared" si="38"/>
        <v>7.23196881091618</v>
      </c>
      <c r="R196" s="16">
        <f t="shared" si="39"/>
        <v>0.947550229043318</v>
      </c>
      <c r="S196" s="16">
        <v>12.0197044334975</v>
      </c>
    </row>
    <row r="197" spans="1:19">
      <c r="A197" s="8" t="s">
        <v>184</v>
      </c>
      <c r="B197" s="7">
        <v>101.9</v>
      </c>
      <c r="C197" s="7">
        <v>3.03</v>
      </c>
      <c r="D197" s="7">
        <v>305</v>
      </c>
      <c r="E197" s="7">
        <v>371</v>
      </c>
      <c r="F197" s="7">
        <v>51.3</v>
      </c>
      <c r="G197" s="8" t="s">
        <v>20</v>
      </c>
      <c r="H197" s="7">
        <v>926</v>
      </c>
      <c r="I197" s="14">
        <f t="shared" si="30"/>
        <v>8155.26822343538</v>
      </c>
      <c r="J197" s="15">
        <f t="shared" si="31"/>
        <v>941.146074951081</v>
      </c>
      <c r="K197" s="15">
        <f t="shared" si="32"/>
        <v>7214.1221484843</v>
      </c>
      <c r="L197" s="15">
        <f t="shared" si="33"/>
        <v>0.115403448319033</v>
      </c>
      <c r="M197" s="15">
        <f t="shared" si="34"/>
        <v>0.130458849403987</v>
      </c>
      <c r="N197" s="16">
        <f t="shared" si="35"/>
        <v>33.6303630363036</v>
      </c>
      <c r="O197" s="16">
        <f t="shared" si="36"/>
        <v>349165.193806851</v>
      </c>
      <c r="P197" s="16">
        <f t="shared" si="37"/>
        <v>370084.466217244</v>
      </c>
      <c r="Q197" s="16">
        <f t="shared" si="38"/>
        <v>7.23196881091618</v>
      </c>
      <c r="R197" s="16">
        <f t="shared" si="39"/>
        <v>0.943474329997645</v>
      </c>
      <c r="S197" s="16">
        <v>11.972522080471</v>
      </c>
    </row>
    <row r="198" spans="1:19">
      <c r="A198" s="8" t="s">
        <v>185</v>
      </c>
      <c r="B198" s="7">
        <v>216.4</v>
      </c>
      <c r="C198" s="7">
        <v>6.61</v>
      </c>
      <c r="D198" s="7">
        <v>650</v>
      </c>
      <c r="E198" s="7">
        <v>452</v>
      </c>
      <c r="F198" s="7">
        <v>46.7</v>
      </c>
      <c r="G198" s="8" t="s">
        <v>20</v>
      </c>
      <c r="H198" s="7">
        <v>4283</v>
      </c>
      <c r="I198" s="14">
        <f t="shared" si="30"/>
        <v>36779.3791778126</v>
      </c>
      <c r="J198" s="15">
        <f t="shared" si="31"/>
        <v>4356.48391768554</v>
      </c>
      <c r="K198" s="15">
        <f t="shared" si="32"/>
        <v>32422.895260127</v>
      </c>
      <c r="L198" s="15">
        <f t="shared" si="33"/>
        <v>0.118449087914829</v>
      </c>
      <c r="M198" s="15">
        <f t="shared" si="34"/>
        <v>0.134364432378223</v>
      </c>
      <c r="N198" s="16">
        <f t="shared" si="35"/>
        <v>32.7382753403933</v>
      </c>
      <c r="O198" s="16">
        <f t="shared" si="36"/>
        <v>1969130.73079386</v>
      </c>
      <c r="P198" s="16">
        <f t="shared" si="37"/>
        <v>1514149.20864793</v>
      </c>
      <c r="Q198" s="16">
        <f t="shared" si="38"/>
        <v>9.67880085653105</v>
      </c>
      <c r="R198" s="16">
        <f t="shared" si="39"/>
        <v>1.30048658318965</v>
      </c>
      <c r="S198" s="16">
        <v>12.0147874306839</v>
      </c>
    </row>
    <row r="199" spans="1:19">
      <c r="A199" s="8" t="s">
        <v>186</v>
      </c>
      <c r="B199" s="7">
        <v>318.3</v>
      </c>
      <c r="C199" s="7">
        <v>10.37</v>
      </c>
      <c r="D199" s="7">
        <v>955</v>
      </c>
      <c r="E199" s="7">
        <v>335</v>
      </c>
      <c r="F199" s="7">
        <v>52.2</v>
      </c>
      <c r="G199" s="8" t="s">
        <v>20</v>
      </c>
      <c r="H199" s="7">
        <v>9297</v>
      </c>
      <c r="I199" s="14">
        <f t="shared" si="30"/>
        <v>79572.5285308145</v>
      </c>
      <c r="J199" s="15">
        <f t="shared" si="31"/>
        <v>10031.8407897524</v>
      </c>
      <c r="K199" s="15">
        <f t="shared" si="32"/>
        <v>69540.6877410621</v>
      </c>
      <c r="L199" s="15">
        <f t="shared" si="33"/>
        <v>0.126071660345286</v>
      </c>
      <c r="M199" s="15">
        <f t="shared" si="34"/>
        <v>0.144258578907163</v>
      </c>
      <c r="N199" s="16">
        <f t="shared" si="35"/>
        <v>30.6943105110897</v>
      </c>
      <c r="O199" s="16">
        <f t="shared" si="36"/>
        <v>3360666.66456706</v>
      </c>
      <c r="P199" s="16">
        <f t="shared" si="37"/>
        <v>3630023.90008344</v>
      </c>
      <c r="Q199" s="16">
        <f t="shared" si="38"/>
        <v>6.4176245210728</v>
      </c>
      <c r="R199" s="16">
        <f t="shared" si="39"/>
        <v>0.925797393369727</v>
      </c>
      <c r="S199" s="16">
        <v>12.0012566760917</v>
      </c>
    </row>
    <row r="200" spans="1:19">
      <c r="A200" s="8" t="s">
        <v>187</v>
      </c>
      <c r="B200" s="7">
        <v>101.4</v>
      </c>
      <c r="C200" s="7">
        <v>3.03</v>
      </c>
      <c r="D200" s="7">
        <v>305</v>
      </c>
      <c r="E200" s="7">
        <v>371</v>
      </c>
      <c r="F200" s="7">
        <v>23.2</v>
      </c>
      <c r="G200" s="8" t="s">
        <v>20</v>
      </c>
      <c r="H200" s="7">
        <v>660</v>
      </c>
      <c r="I200" s="14">
        <f t="shared" si="30"/>
        <v>8075.43250012603</v>
      </c>
      <c r="J200" s="15">
        <f t="shared" si="31"/>
        <v>936.386562080892</v>
      </c>
      <c r="K200" s="15">
        <f t="shared" si="32"/>
        <v>7139.04593804514</v>
      </c>
      <c r="L200" s="15">
        <f t="shared" si="33"/>
        <v>0.115954973565351</v>
      </c>
      <c r="M200" s="15">
        <f t="shared" si="34"/>
        <v>0.131164103748196</v>
      </c>
      <c r="N200" s="16">
        <f t="shared" si="35"/>
        <v>33.4653465346535</v>
      </c>
      <c r="O200" s="16">
        <f t="shared" si="36"/>
        <v>347399.414532011</v>
      </c>
      <c r="P200" s="16">
        <f t="shared" si="37"/>
        <v>165625.865762647</v>
      </c>
      <c r="Q200" s="16">
        <f t="shared" si="38"/>
        <v>15.9913793103448</v>
      </c>
      <c r="R200" s="16">
        <f t="shared" si="39"/>
        <v>2.09749493493883</v>
      </c>
      <c r="S200" s="16">
        <v>12.0315581854043</v>
      </c>
    </row>
    <row r="201" spans="1:19">
      <c r="A201" s="8" t="s">
        <v>188</v>
      </c>
      <c r="B201" s="7">
        <v>101.9</v>
      </c>
      <c r="C201" s="7">
        <v>3.03</v>
      </c>
      <c r="D201" s="7">
        <v>305</v>
      </c>
      <c r="E201" s="7">
        <v>371</v>
      </c>
      <c r="F201" s="7">
        <v>23.2</v>
      </c>
      <c r="G201" s="8" t="s">
        <v>20</v>
      </c>
      <c r="H201" s="7">
        <v>649</v>
      </c>
      <c r="I201" s="14">
        <f t="shared" si="30"/>
        <v>8155.26822343538</v>
      </c>
      <c r="J201" s="15">
        <f t="shared" si="31"/>
        <v>941.146074951081</v>
      </c>
      <c r="K201" s="15">
        <f t="shared" si="32"/>
        <v>7214.1221484843</v>
      </c>
      <c r="L201" s="15">
        <f t="shared" si="33"/>
        <v>0.115403448319033</v>
      </c>
      <c r="M201" s="15">
        <f t="shared" si="34"/>
        <v>0.130458849403987</v>
      </c>
      <c r="N201" s="16">
        <f t="shared" si="35"/>
        <v>33.6303630363036</v>
      </c>
      <c r="O201" s="16">
        <f t="shared" si="36"/>
        <v>349165.193806851</v>
      </c>
      <c r="P201" s="16">
        <f t="shared" si="37"/>
        <v>167367.633844836</v>
      </c>
      <c r="Q201" s="16">
        <f t="shared" si="38"/>
        <v>15.9913793103448</v>
      </c>
      <c r="R201" s="16">
        <f t="shared" si="39"/>
        <v>2.08621694521031</v>
      </c>
      <c r="S201" s="16">
        <v>11.972522080471</v>
      </c>
    </row>
    <row r="202" spans="1:19">
      <c r="A202" s="8" t="s">
        <v>189</v>
      </c>
      <c r="B202" s="7">
        <v>101.8</v>
      </c>
      <c r="C202" s="7">
        <v>3.03</v>
      </c>
      <c r="D202" s="7">
        <v>305</v>
      </c>
      <c r="E202" s="7">
        <v>371</v>
      </c>
      <c r="F202" s="7">
        <v>23.2</v>
      </c>
      <c r="G202" s="8" t="s">
        <v>20</v>
      </c>
      <c r="H202" s="7">
        <v>682</v>
      </c>
      <c r="I202" s="14">
        <f t="shared" si="30"/>
        <v>8139.26966284697</v>
      </c>
      <c r="J202" s="15">
        <f t="shared" si="31"/>
        <v>940.194172377045</v>
      </c>
      <c r="K202" s="15">
        <f t="shared" si="32"/>
        <v>7199.07549046993</v>
      </c>
      <c r="L202" s="15">
        <f t="shared" si="33"/>
        <v>0.115513333667849</v>
      </c>
      <c r="M202" s="15">
        <f t="shared" si="34"/>
        <v>0.130599293426172</v>
      </c>
      <c r="N202" s="16">
        <f t="shared" si="35"/>
        <v>33.5973597359736</v>
      </c>
      <c r="O202" s="16">
        <f t="shared" si="36"/>
        <v>348812.037951884</v>
      </c>
      <c r="P202" s="16">
        <f t="shared" si="37"/>
        <v>167018.551378902</v>
      </c>
      <c r="Q202" s="16">
        <f t="shared" si="38"/>
        <v>15.9913793103448</v>
      </c>
      <c r="R202" s="16">
        <f t="shared" si="39"/>
        <v>2.08846283884094</v>
      </c>
      <c r="S202" s="16">
        <v>11.9842829076621</v>
      </c>
    </row>
    <row r="203" spans="1:19">
      <c r="A203" s="8" t="s">
        <v>190</v>
      </c>
      <c r="B203" s="7">
        <v>216.4</v>
      </c>
      <c r="C203" s="7">
        <v>6.61</v>
      </c>
      <c r="D203" s="7">
        <v>649</v>
      </c>
      <c r="E203" s="7">
        <v>452</v>
      </c>
      <c r="F203" s="7">
        <v>24.3</v>
      </c>
      <c r="G203" s="8" t="s">
        <v>20</v>
      </c>
      <c r="H203" s="7">
        <v>3568</v>
      </c>
      <c r="I203" s="14">
        <f t="shared" si="30"/>
        <v>36779.3791778126</v>
      </c>
      <c r="J203" s="15">
        <f t="shared" si="31"/>
        <v>4356.48391768554</v>
      </c>
      <c r="K203" s="15">
        <f t="shared" si="32"/>
        <v>32422.895260127</v>
      </c>
      <c r="L203" s="15">
        <f t="shared" si="33"/>
        <v>0.118449087914829</v>
      </c>
      <c r="M203" s="15">
        <f t="shared" si="34"/>
        <v>0.134364432378223</v>
      </c>
      <c r="N203" s="16">
        <f t="shared" si="35"/>
        <v>32.7382753403933</v>
      </c>
      <c r="O203" s="16">
        <f t="shared" si="36"/>
        <v>1969130.73079386</v>
      </c>
      <c r="P203" s="16">
        <f t="shared" si="37"/>
        <v>787876.354821087</v>
      </c>
      <c r="Q203" s="16">
        <f t="shared" si="38"/>
        <v>18.6008230452675</v>
      </c>
      <c r="R203" s="16">
        <f t="shared" si="39"/>
        <v>2.49928903024513</v>
      </c>
      <c r="S203" s="16">
        <v>11.996303142329</v>
      </c>
    </row>
    <row r="204" spans="1:19">
      <c r="A204" s="8" t="s">
        <v>191</v>
      </c>
      <c r="B204" s="7">
        <v>318.3</v>
      </c>
      <c r="C204" s="7">
        <v>10.37</v>
      </c>
      <c r="D204" s="7">
        <v>955</v>
      </c>
      <c r="E204" s="7">
        <v>335</v>
      </c>
      <c r="F204" s="7">
        <v>24.2</v>
      </c>
      <c r="G204" s="8" t="s">
        <v>20</v>
      </c>
      <c r="H204" s="7">
        <v>6565</v>
      </c>
      <c r="I204" s="14">
        <f t="shared" si="30"/>
        <v>79572.5285308145</v>
      </c>
      <c r="J204" s="15">
        <f t="shared" si="31"/>
        <v>10031.8407897524</v>
      </c>
      <c r="K204" s="15">
        <f t="shared" si="32"/>
        <v>69540.6877410621</v>
      </c>
      <c r="L204" s="15">
        <f t="shared" si="33"/>
        <v>0.126071660345286</v>
      </c>
      <c r="M204" s="15">
        <f t="shared" si="34"/>
        <v>0.144258578907163</v>
      </c>
      <c r="N204" s="16">
        <f t="shared" si="35"/>
        <v>30.6943105110897</v>
      </c>
      <c r="O204" s="16">
        <f t="shared" si="36"/>
        <v>3360666.66456706</v>
      </c>
      <c r="P204" s="16">
        <f t="shared" si="37"/>
        <v>1682884.6433337</v>
      </c>
      <c r="Q204" s="16">
        <f t="shared" si="38"/>
        <v>13.8429752066116</v>
      </c>
      <c r="R204" s="16">
        <f t="shared" si="39"/>
        <v>1.99696793115288</v>
      </c>
      <c r="S204" s="16">
        <v>12.0012566760917</v>
      </c>
    </row>
    <row r="205" spans="1:19">
      <c r="A205" s="8" t="s">
        <v>192</v>
      </c>
      <c r="B205" s="7">
        <v>101.7</v>
      </c>
      <c r="C205" s="7">
        <v>3.03</v>
      </c>
      <c r="D205" s="7">
        <v>305</v>
      </c>
      <c r="E205" s="7">
        <v>371</v>
      </c>
      <c r="F205" s="7">
        <v>40.2</v>
      </c>
      <c r="G205" s="8" t="s">
        <v>20</v>
      </c>
      <c r="H205" s="7">
        <v>800</v>
      </c>
      <c r="I205" s="14">
        <f t="shared" si="30"/>
        <v>8123.28681022183</v>
      </c>
      <c r="J205" s="15">
        <f t="shared" si="31"/>
        <v>939.242269803007</v>
      </c>
      <c r="K205" s="15">
        <f t="shared" si="32"/>
        <v>7184.04454041883</v>
      </c>
      <c r="L205" s="15">
        <f t="shared" si="33"/>
        <v>0.115623428268115</v>
      </c>
      <c r="M205" s="15">
        <f t="shared" si="34"/>
        <v>0.130740039892382</v>
      </c>
      <c r="N205" s="16">
        <f t="shared" si="35"/>
        <v>33.5643564356436</v>
      </c>
      <c r="O205" s="16">
        <f t="shared" si="36"/>
        <v>348458.882096916</v>
      </c>
      <c r="P205" s="16">
        <f t="shared" si="37"/>
        <v>288798.590524837</v>
      </c>
      <c r="Q205" s="16">
        <f t="shared" si="38"/>
        <v>9.22885572139303</v>
      </c>
      <c r="R205" s="16">
        <f t="shared" si="39"/>
        <v>1.20658096517596</v>
      </c>
      <c r="S205" s="16">
        <v>11.9960668633235</v>
      </c>
    </row>
    <row r="206" spans="1:19">
      <c r="A206" s="8" t="s">
        <v>193</v>
      </c>
      <c r="B206" s="7">
        <v>101.3</v>
      </c>
      <c r="C206" s="7">
        <v>3.03</v>
      </c>
      <c r="D206" s="7">
        <v>305</v>
      </c>
      <c r="E206" s="7">
        <v>371</v>
      </c>
      <c r="F206" s="7">
        <v>40.2</v>
      </c>
      <c r="G206" s="8" t="s">
        <v>20</v>
      </c>
      <c r="H206" s="7">
        <v>742</v>
      </c>
      <c r="I206" s="14">
        <f t="shared" si="30"/>
        <v>8059.51247935396</v>
      </c>
      <c r="J206" s="15">
        <f t="shared" si="31"/>
        <v>935.434659506855</v>
      </c>
      <c r="K206" s="15">
        <f t="shared" si="32"/>
        <v>7124.07781984711</v>
      </c>
      <c r="L206" s="15">
        <f t="shared" si="33"/>
        <v>0.116065911170577</v>
      </c>
      <c r="M206" s="15">
        <f t="shared" si="34"/>
        <v>0.131306069804685</v>
      </c>
      <c r="N206" s="16">
        <f t="shared" si="35"/>
        <v>33.4323432343234</v>
      </c>
      <c r="O206" s="16">
        <f t="shared" si="36"/>
        <v>347046.258677043</v>
      </c>
      <c r="P206" s="16">
        <f t="shared" si="37"/>
        <v>286387.928357854</v>
      </c>
      <c r="Q206" s="16">
        <f t="shared" si="38"/>
        <v>9.22885572139303</v>
      </c>
      <c r="R206" s="16">
        <f t="shared" si="39"/>
        <v>1.2118047735706</v>
      </c>
      <c r="S206" s="16">
        <v>12.0434353405726</v>
      </c>
    </row>
    <row r="207" spans="1:19">
      <c r="A207" s="8" t="s">
        <v>194</v>
      </c>
      <c r="B207" s="7">
        <v>216.4</v>
      </c>
      <c r="C207" s="7">
        <v>6.61</v>
      </c>
      <c r="D207" s="7">
        <v>649</v>
      </c>
      <c r="E207" s="7">
        <v>452</v>
      </c>
      <c r="F207" s="7">
        <v>38.2</v>
      </c>
      <c r="G207" s="8" t="s">
        <v>20</v>
      </c>
      <c r="H207" s="7">
        <v>4023</v>
      </c>
      <c r="I207" s="14">
        <f t="shared" si="30"/>
        <v>36779.3791778126</v>
      </c>
      <c r="J207" s="15">
        <f t="shared" si="31"/>
        <v>4356.48391768554</v>
      </c>
      <c r="K207" s="15">
        <f t="shared" si="32"/>
        <v>32422.895260127</v>
      </c>
      <c r="L207" s="15">
        <f t="shared" si="33"/>
        <v>0.118449087914829</v>
      </c>
      <c r="M207" s="15">
        <f t="shared" si="34"/>
        <v>0.134364432378223</v>
      </c>
      <c r="N207" s="16">
        <f t="shared" si="35"/>
        <v>32.7382753403933</v>
      </c>
      <c r="O207" s="16">
        <f t="shared" si="36"/>
        <v>1969130.73079386</v>
      </c>
      <c r="P207" s="16">
        <f t="shared" si="37"/>
        <v>1238554.59893685</v>
      </c>
      <c r="Q207" s="16">
        <f t="shared" si="38"/>
        <v>11.8324607329843</v>
      </c>
      <c r="R207" s="16">
        <f t="shared" si="39"/>
        <v>1.58986187002504</v>
      </c>
      <c r="S207" s="16">
        <v>11.996303142329</v>
      </c>
    </row>
    <row r="208" spans="1:19">
      <c r="A208" s="8" t="s">
        <v>195</v>
      </c>
      <c r="B208" s="7">
        <v>318.3</v>
      </c>
      <c r="C208" s="7">
        <v>10.37</v>
      </c>
      <c r="D208" s="7">
        <v>955</v>
      </c>
      <c r="E208" s="7">
        <v>335</v>
      </c>
      <c r="F208" s="7">
        <v>39.2</v>
      </c>
      <c r="G208" s="8" t="s">
        <v>20</v>
      </c>
      <c r="H208" s="7">
        <v>7933</v>
      </c>
      <c r="I208" s="14">
        <f t="shared" si="30"/>
        <v>79572.5285308145</v>
      </c>
      <c r="J208" s="15">
        <f t="shared" si="31"/>
        <v>10031.8407897524</v>
      </c>
      <c r="K208" s="15">
        <f t="shared" si="32"/>
        <v>69540.6877410621</v>
      </c>
      <c r="L208" s="15">
        <f t="shared" si="33"/>
        <v>0.126071660345286</v>
      </c>
      <c r="M208" s="15">
        <f t="shared" si="34"/>
        <v>0.144258578907163</v>
      </c>
      <c r="N208" s="16">
        <f t="shared" si="35"/>
        <v>30.6943105110897</v>
      </c>
      <c r="O208" s="16">
        <f t="shared" si="36"/>
        <v>3360666.66456706</v>
      </c>
      <c r="P208" s="16">
        <f t="shared" si="37"/>
        <v>2725994.95944963</v>
      </c>
      <c r="Q208" s="16">
        <f t="shared" si="38"/>
        <v>8.54591836734694</v>
      </c>
      <c r="R208" s="16">
        <f t="shared" si="39"/>
        <v>1.2328220391301</v>
      </c>
      <c r="S208" s="16">
        <v>12.0012566760917</v>
      </c>
    </row>
    <row r="209" spans="1:19">
      <c r="A209" s="8" t="s">
        <v>196</v>
      </c>
      <c r="B209" s="7">
        <v>101.9</v>
      </c>
      <c r="C209" s="7">
        <v>3.03</v>
      </c>
      <c r="D209" s="7">
        <v>305</v>
      </c>
      <c r="E209" s="7">
        <v>371</v>
      </c>
      <c r="F209" s="7">
        <v>51.3</v>
      </c>
      <c r="G209" s="8" t="s">
        <v>20</v>
      </c>
      <c r="H209" s="7">
        <v>877</v>
      </c>
      <c r="I209" s="14">
        <f t="shared" si="30"/>
        <v>8155.26822343538</v>
      </c>
      <c r="J209" s="15">
        <f t="shared" si="31"/>
        <v>941.146074951081</v>
      </c>
      <c r="K209" s="15">
        <f t="shared" si="32"/>
        <v>7214.1221484843</v>
      </c>
      <c r="L209" s="15">
        <f t="shared" si="33"/>
        <v>0.115403448319033</v>
      </c>
      <c r="M209" s="15">
        <f t="shared" si="34"/>
        <v>0.130458849403987</v>
      </c>
      <c r="N209" s="16">
        <f t="shared" si="35"/>
        <v>33.6303630363036</v>
      </c>
      <c r="O209" s="16">
        <f t="shared" si="36"/>
        <v>349165.193806851</v>
      </c>
      <c r="P209" s="16">
        <f t="shared" si="37"/>
        <v>370084.466217244</v>
      </c>
      <c r="Q209" s="16">
        <f t="shared" si="38"/>
        <v>7.23196881091618</v>
      </c>
      <c r="R209" s="16">
        <f t="shared" si="39"/>
        <v>0.943474329997645</v>
      </c>
      <c r="S209" s="16">
        <v>11.972522080471</v>
      </c>
    </row>
    <row r="210" spans="1:19">
      <c r="A210" s="8" t="s">
        <v>197</v>
      </c>
      <c r="B210" s="7">
        <v>101.5</v>
      </c>
      <c r="C210" s="7">
        <v>3.03</v>
      </c>
      <c r="D210" s="7">
        <v>305</v>
      </c>
      <c r="E210" s="7">
        <v>371</v>
      </c>
      <c r="F210" s="7">
        <v>51.3</v>
      </c>
      <c r="G210" s="8" t="s">
        <v>20</v>
      </c>
      <c r="H210" s="7">
        <v>862</v>
      </c>
      <c r="I210" s="14">
        <f t="shared" si="30"/>
        <v>8091.36822886136</v>
      </c>
      <c r="J210" s="15">
        <f t="shared" si="31"/>
        <v>937.338464654931</v>
      </c>
      <c r="K210" s="15">
        <f t="shared" si="32"/>
        <v>7154.02976420643</v>
      </c>
      <c r="L210" s="15">
        <f t="shared" si="33"/>
        <v>0.115844247615812</v>
      </c>
      <c r="M210" s="15">
        <f t="shared" si="34"/>
        <v>0.131022444069871</v>
      </c>
      <c r="N210" s="16">
        <f t="shared" si="35"/>
        <v>33.4983498349835</v>
      </c>
      <c r="O210" s="16">
        <f t="shared" si="36"/>
        <v>347752.570386979</v>
      </c>
      <c r="P210" s="16">
        <f t="shared" si="37"/>
        <v>367001.72690379</v>
      </c>
      <c r="Q210" s="16">
        <f t="shared" si="38"/>
        <v>7.23196881091618</v>
      </c>
      <c r="R210" s="16">
        <f t="shared" si="39"/>
        <v>0.947550229043318</v>
      </c>
      <c r="S210" s="16">
        <v>12.0197044334975</v>
      </c>
    </row>
    <row r="211" spans="1:19">
      <c r="A211" s="8" t="s">
        <v>198</v>
      </c>
      <c r="B211" s="7">
        <v>216.4</v>
      </c>
      <c r="C211" s="7">
        <v>6.61</v>
      </c>
      <c r="D211" s="7">
        <v>649</v>
      </c>
      <c r="E211" s="7">
        <v>452</v>
      </c>
      <c r="F211" s="7">
        <v>46.8</v>
      </c>
      <c r="G211" s="8" t="s">
        <v>20</v>
      </c>
      <c r="H211" s="7">
        <v>4214</v>
      </c>
      <c r="I211" s="14">
        <f t="shared" si="30"/>
        <v>36779.3791778126</v>
      </c>
      <c r="J211" s="15">
        <f t="shared" si="31"/>
        <v>4356.48391768554</v>
      </c>
      <c r="K211" s="15">
        <f t="shared" si="32"/>
        <v>32422.895260127</v>
      </c>
      <c r="L211" s="15">
        <f t="shared" si="33"/>
        <v>0.118449087914829</v>
      </c>
      <c r="M211" s="15">
        <f t="shared" si="34"/>
        <v>0.134364432378223</v>
      </c>
      <c r="N211" s="16">
        <f t="shared" si="35"/>
        <v>32.7382753403933</v>
      </c>
      <c r="O211" s="16">
        <f t="shared" si="36"/>
        <v>1969130.73079386</v>
      </c>
      <c r="P211" s="16">
        <f t="shared" si="37"/>
        <v>1517391.49817394</v>
      </c>
      <c r="Q211" s="16">
        <f t="shared" si="38"/>
        <v>9.65811965811966</v>
      </c>
      <c r="R211" s="16">
        <f t="shared" si="39"/>
        <v>1.2977077657042</v>
      </c>
      <c r="S211" s="16">
        <v>11.996303142329</v>
      </c>
    </row>
    <row r="212" spans="1:19">
      <c r="A212" s="8" t="s">
        <v>199</v>
      </c>
      <c r="B212" s="7">
        <v>318.5</v>
      </c>
      <c r="C212" s="7">
        <v>10.37</v>
      </c>
      <c r="D212" s="7">
        <v>955</v>
      </c>
      <c r="E212" s="7">
        <v>335</v>
      </c>
      <c r="F212" s="7">
        <v>52.2</v>
      </c>
      <c r="G212" s="8" t="s">
        <v>20</v>
      </c>
      <c r="H212" s="7">
        <v>8289</v>
      </c>
      <c r="I212" s="14">
        <f t="shared" si="30"/>
        <v>79672.5568409048</v>
      </c>
      <c r="J212" s="15">
        <f t="shared" si="31"/>
        <v>10038.356452916</v>
      </c>
      <c r="K212" s="15">
        <f t="shared" si="32"/>
        <v>69634.2003879888</v>
      </c>
      <c r="L212" s="15">
        <f t="shared" si="33"/>
        <v>0.125995158821891</v>
      </c>
      <c r="M212" s="15">
        <f t="shared" si="34"/>
        <v>0.14415842211132</v>
      </c>
      <c r="N212" s="16">
        <f t="shared" si="35"/>
        <v>30.7135969141755</v>
      </c>
      <c r="O212" s="16">
        <f t="shared" si="36"/>
        <v>3362849.41172685</v>
      </c>
      <c r="P212" s="16">
        <f t="shared" si="37"/>
        <v>3634905.26025302</v>
      </c>
      <c r="Q212" s="16">
        <f t="shared" si="38"/>
        <v>6.4176245210728</v>
      </c>
      <c r="R212" s="16">
        <f t="shared" si="39"/>
        <v>0.925154624660773</v>
      </c>
      <c r="S212" s="16">
        <v>11.9937205651491</v>
      </c>
    </row>
    <row r="213" spans="1:19">
      <c r="A213" s="8" t="s">
        <v>200</v>
      </c>
      <c r="B213" s="7">
        <v>100</v>
      </c>
      <c r="C213" s="7">
        <v>3</v>
      </c>
      <c r="D213" s="7">
        <v>300</v>
      </c>
      <c r="E213" s="7">
        <v>303.5</v>
      </c>
      <c r="F213" s="7">
        <v>46.8</v>
      </c>
      <c r="G213" s="8" t="s">
        <v>20</v>
      </c>
      <c r="H213" s="7">
        <v>708</v>
      </c>
      <c r="I213" s="14">
        <f t="shared" si="30"/>
        <v>7853.98163397448</v>
      </c>
      <c r="J213" s="15">
        <f t="shared" si="31"/>
        <v>914.20346219463</v>
      </c>
      <c r="K213" s="15">
        <f t="shared" si="32"/>
        <v>6939.77817177985</v>
      </c>
      <c r="L213" s="15">
        <f t="shared" si="33"/>
        <v>0.1164</v>
      </c>
      <c r="M213" s="15">
        <f t="shared" si="34"/>
        <v>0.131733816206428</v>
      </c>
      <c r="N213" s="16">
        <f t="shared" si="35"/>
        <v>33.3333333333333</v>
      </c>
      <c r="O213" s="16">
        <f t="shared" si="36"/>
        <v>277460.75077607</v>
      </c>
      <c r="P213" s="16">
        <f t="shared" si="37"/>
        <v>324781.618439297</v>
      </c>
      <c r="Q213" s="16">
        <f t="shared" si="38"/>
        <v>6.48504273504274</v>
      </c>
      <c r="R213" s="16">
        <f t="shared" si="39"/>
        <v>0.854299427748952</v>
      </c>
      <c r="S213" s="16">
        <v>12</v>
      </c>
    </row>
    <row r="214" spans="1:19">
      <c r="A214" s="8" t="s">
        <v>201</v>
      </c>
      <c r="B214" s="7">
        <v>100</v>
      </c>
      <c r="C214" s="7">
        <v>3</v>
      </c>
      <c r="D214" s="7">
        <v>300</v>
      </c>
      <c r="E214" s="7">
        <v>303.5</v>
      </c>
      <c r="F214" s="7">
        <v>46.8</v>
      </c>
      <c r="G214" s="8" t="s">
        <v>20</v>
      </c>
      <c r="H214" s="7">
        <v>820</v>
      </c>
      <c r="I214" s="14">
        <f t="shared" si="30"/>
        <v>7853.98163397448</v>
      </c>
      <c r="J214" s="15">
        <f t="shared" si="31"/>
        <v>914.20346219463</v>
      </c>
      <c r="K214" s="15">
        <f t="shared" si="32"/>
        <v>6939.77817177985</v>
      </c>
      <c r="L214" s="15">
        <f t="shared" si="33"/>
        <v>0.1164</v>
      </c>
      <c r="M214" s="15">
        <f t="shared" si="34"/>
        <v>0.131733816206428</v>
      </c>
      <c r="N214" s="16">
        <f t="shared" si="35"/>
        <v>33.3333333333333</v>
      </c>
      <c r="O214" s="16">
        <f t="shared" si="36"/>
        <v>277460.75077607</v>
      </c>
      <c r="P214" s="16">
        <f t="shared" si="37"/>
        <v>324781.618439297</v>
      </c>
      <c r="Q214" s="16">
        <f t="shared" si="38"/>
        <v>6.48504273504274</v>
      </c>
      <c r="R214" s="16">
        <f t="shared" si="39"/>
        <v>0.854299427748952</v>
      </c>
      <c r="S214" s="16">
        <v>12</v>
      </c>
    </row>
    <row r="215" spans="1:19">
      <c r="A215" s="8" t="s">
        <v>202</v>
      </c>
      <c r="B215" s="7">
        <v>100</v>
      </c>
      <c r="C215" s="7">
        <v>3</v>
      </c>
      <c r="D215" s="7">
        <v>300</v>
      </c>
      <c r="E215" s="7">
        <v>303.5</v>
      </c>
      <c r="F215" s="7">
        <v>46.8</v>
      </c>
      <c r="G215" s="8" t="s">
        <v>20</v>
      </c>
      <c r="H215" s="7">
        <v>766</v>
      </c>
      <c r="I215" s="14">
        <f t="shared" si="30"/>
        <v>7853.98163397448</v>
      </c>
      <c r="J215" s="15">
        <f t="shared" si="31"/>
        <v>914.20346219463</v>
      </c>
      <c r="K215" s="15">
        <f t="shared" si="32"/>
        <v>6939.77817177985</v>
      </c>
      <c r="L215" s="15">
        <f t="shared" si="33"/>
        <v>0.1164</v>
      </c>
      <c r="M215" s="15">
        <f t="shared" si="34"/>
        <v>0.131733816206428</v>
      </c>
      <c r="N215" s="16">
        <f t="shared" si="35"/>
        <v>33.3333333333333</v>
      </c>
      <c r="O215" s="16">
        <f t="shared" si="36"/>
        <v>277460.75077607</v>
      </c>
      <c r="P215" s="16">
        <f t="shared" si="37"/>
        <v>324781.618439297</v>
      </c>
      <c r="Q215" s="16">
        <f t="shared" si="38"/>
        <v>6.48504273504274</v>
      </c>
      <c r="R215" s="16">
        <f t="shared" si="39"/>
        <v>0.854299427748952</v>
      </c>
      <c r="S215" s="16">
        <v>12</v>
      </c>
    </row>
    <row r="216" spans="1:19">
      <c r="A216" s="8" t="s">
        <v>203</v>
      </c>
      <c r="B216" s="7">
        <v>100</v>
      </c>
      <c r="C216" s="7">
        <v>3</v>
      </c>
      <c r="D216" s="7">
        <v>300</v>
      </c>
      <c r="E216" s="7">
        <v>303.5</v>
      </c>
      <c r="F216" s="7">
        <v>46.8</v>
      </c>
      <c r="G216" s="8" t="s">
        <v>20</v>
      </c>
      <c r="H216" s="7">
        <v>820</v>
      </c>
      <c r="I216" s="14">
        <f t="shared" si="30"/>
        <v>7853.98163397448</v>
      </c>
      <c r="J216" s="15">
        <f t="shared" si="31"/>
        <v>914.20346219463</v>
      </c>
      <c r="K216" s="15">
        <f t="shared" si="32"/>
        <v>6939.77817177985</v>
      </c>
      <c r="L216" s="15">
        <f t="shared" si="33"/>
        <v>0.1164</v>
      </c>
      <c r="M216" s="15">
        <f t="shared" si="34"/>
        <v>0.131733816206428</v>
      </c>
      <c r="N216" s="16">
        <f t="shared" si="35"/>
        <v>33.3333333333333</v>
      </c>
      <c r="O216" s="16">
        <f t="shared" si="36"/>
        <v>277460.75077607</v>
      </c>
      <c r="P216" s="16">
        <f t="shared" si="37"/>
        <v>324781.618439297</v>
      </c>
      <c r="Q216" s="16">
        <f t="shared" si="38"/>
        <v>6.48504273504274</v>
      </c>
      <c r="R216" s="16">
        <f t="shared" si="39"/>
        <v>0.854299427748952</v>
      </c>
      <c r="S216" s="16">
        <v>12</v>
      </c>
    </row>
    <row r="217" spans="1:19">
      <c r="A217" s="8" t="s">
        <v>204</v>
      </c>
      <c r="B217" s="7">
        <v>100</v>
      </c>
      <c r="C217" s="7">
        <v>3</v>
      </c>
      <c r="D217" s="7">
        <v>300</v>
      </c>
      <c r="E217" s="7">
        <v>303.5</v>
      </c>
      <c r="F217" s="7">
        <v>46.8</v>
      </c>
      <c r="G217" s="8" t="s">
        <v>20</v>
      </c>
      <c r="H217" s="7">
        <v>780</v>
      </c>
      <c r="I217" s="14">
        <f t="shared" si="30"/>
        <v>7853.98163397448</v>
      </c>
      <c r="J217" s="15">
        <f t="shared" si="31"/>
        <v>914.20346219463</v>
      </c>
      <c r="K217" s="15">
        <f t="shared" si="32"/>
        <v>6939.77817177985</v>
      </c>
      <c r="L217" s="15">
        <f t="shared" si="33"/>
        <v>0.1164</v>
      </c>
      <c r="M217" s="15">
        <f t="shared" si="34"/>
        <v>0.131733816206428</v>
      </c>
      <c r="N217" s="16">
        <f t="shared" si="35"/>
        <v>33.3333333333333</v>
      </c>
      <c r="O217" s="16">
        <f t="shared" si="36"/>
        <v>277460.75077607</v>
      </c>
      <c r="P217" s="16">
        <f t="shared" si="37"/>
        <v>324781.618439297</v>
      </c>
      <c r="Q217" s="16">
        <f t="shared" si="38"/>
        <v>6.48504273504274</v>
      </c>
      <c r="R217" s="16">
        <f t="shared" si="39"/>
        <v>0.854299427748952</v>
      </c>
      <c r="S217" s="16">
        <v>12</v>
      </c>
    </row>
    <row r="218" spans="1:19">
      <c r="A218" s="8" t="s">
        <v>205</v>
      </c>
      <c r="B218" s="7">
        <v>100</v>
      </c>
      <c r="C218" s="7">
        <v>3</v>
      </c>
      <c r="D218" s="7">
        <v>300</v>
      </c>
      <c r="E218" s="7">
        <v>303.5</v>
      </c>
      <c r="F218" s="7">
        <v>46.8</v>
      </c>
      <c r="G218" s="8" t="s">
        <v>20</v>
      </c>
      <c r="H218" s="7">
        <v>814</v>
      </c>
      <c r="I218" s="14">
        <f t="shared" si="30"/>
        <v>7853.98163397448</v>
      </c>
      <c r="J218" s="15">
        <f t="shared" si="31"/>
        <v>914.20346219463</v>
      </c>
      <c r="K218" s="15">
        <f t="shared" si="32"/>
        <v>6939.77817177985</v>
      </c>
      <c r="L218" s="15">
        <f t="shared" si="33"/>
        <v>0.1164</v>
      </c>
      <c r="M218" s="15">
        <f t="shared" si="34"/>
        <v>0.131733816206428</v>
      </c>
      <c r="N218" s="16">
        <f t="shared" si="35"/>
        <v>33.3333333333333</v>
      </c>
      <c r="O218" s="16">
        <f t="shared" si="36"/>
        <v>277460.75077607</v>
      </c>
      <c r="P218" s="16">
        <f t="shared" si="37"/>
        <v>324781.618439297</v>
      </c>
      <c r="Q218" s="16">
        <f t="shared" si="38"/>
        <v>6.48504273504274</v>
      </c>
      <c r="R218" s="16">
        <f t="shared" si="39"/>
        <v>0.854299427748952</v>
      </c>
      <c r="S218" s="16">
        <v>12</v>
      </c>
    </row>
    <row r="219" spans="1:19">
      <c r="A219" s="8" t="s">
        <v>206</v>
      </c>
      <c r="B219" s="7">
        <v>200</v>
      </c>
      <c r="C219" s="7">
        <v>3</v>
      </c>
      <c r="D219" s="7">
        <v>600</v>
      </c>
      <c r="E219" s="7">
        <v>303.5</v>
      </c>
      <c r="F219" s="7">
        <v>46.8</v>
      </c>
      <c r="G219" s="8" t="s">
        <v>20</v>
      </c>
      <c r="H219" s="7">
        <v>2320</v>
      </c>
      <c r="I219" s="14">
        <f t="shared" si="30"/>
        <v>31415.9265358979</v>
      </c>
      <c r="J219" s="15">
        <f t="shared" si="31"/>
        <v>1856.68125827157</v>
      </c>
      <c r="K219" s="15">
        <f t="shared" si="32"/>
        <v>29559.2452776264</v>
      </c>
      <c r="L219" s="15">
        <f t="shared" si="33"/>
        <v>0.0591</v>
      </c>
      <c r="M219" s="15">
        <f t="shared" si="34"/>
        <v>0.0628122010840684</v>
      </c>
      <c r="N219" s="16">
        <f t="shared" si="35"/>
        <v>66.6666666666667</v>
      </c>
      <c r="O219" s="16">
        <f t="shared" si="36"/>
        <v>563502.761885421</v>
      </c>
      <c r="P219" s="16">
        <f t="shared" si="37"/>
        <v>1383372.67899291</v>
      </c>
      <c r="Q219" s="16">
        <f t="shared" si="38"/>
        <v>6.48504273504274</v>
      </c>
      <c r="R219" s="16">
        <f t="shared" si="39"/>
        <v>0.407339808312281</v>
      </c>
      <c r="S219" s="16">
        <v>12</v>
      </c>
    </row>
    <row r="220" spans="1:19">
      <c r="A220" s="8" t="s">
        <v>206</v>
      </c>
      <c r="B220" s="7">
        <v>200</v>
      </c>
      <c r="C220" s="7">
        <v>3</v>
      </c>
      <c r="D220" s="7">
        <v>600</v>
      </c>
      <c r="E220" s="7">
        <v>303.5</v>
      </c>
      <c r="F220" s="7">
        <v>46.8</v>
      </c>
      <c r="G220" s="8" t="s">
        <v>20</v>
      </c>
      <c r="H220" s="7">
        <v>2330</v>
      </c>
      <c r="I220" s="14">
        <f t="shared" si="30"/>
        <v>31415.9265358979</v>
      </c>
      <c r="J220" s="15">
        <f t="shared" si="31"/>
        <v>1856.68125827157</v>
      </c>
      <c r="K220" s="15">
        <f t="shared" si="32"/>
        <v>29559.2452776264</v>
      </c>
      <c r="L220" s="15">
        <f t="shared" si="33"/>
        <v>0.0591</v>
      </c>
      <c r="M220" s="15">
        <f t="shared" si="34"/>
        <v>0.0628122010840684</v>
      </c>
      <c r="N220" s="16">
        <f t="shared" si="35"/>
        <v>66.6666666666667</v>
      </c>
      <c r="O220" s="16">
        <f t="shared" si="36"/>
        <v>563502.761885421</v>
      </c>
      <c r="P220" s="16">
        <f t="shared" si="37"/>
        <v>1383372.67899291</v>
      </c>
      <c r="Q220" s="16">
        <f t="shared" si="38"/>
        <v>6.48504273504274</v>
      </c>
      <c r="R220" s="16">
        <f t="shared" si="39"/>
        <v>0.407339808312281</v>
      </c>
      <c r="S220" s="16">
        <v>12</v>
      </c>
    </row>
    <row r="221" spans="1:19">
      <c r="A221" s="8" t="s">
        <v>207</v>
      </c>
      <c r="B221" s="7">
        <v>200</v>
      </c>
      <c r="C221" s="7">
        <v>3</v>
      </c>
      <c r="D221" s="7">
        <v>600</v>
      </c>
      <c r="E221" s="7">
        <v>303.5</v>
      </c>
      <c r="F221" s="7">
        <v>46.8</v>
      </c>
      <c r="G221" s="8" t="s">
        <v>20</v>
      </c>
      <c r="H221" s="7">
        <v>2160</v>
      </c>
      <c r="I221" s="14">
        <f t="shared" si="30"/>
        <v>31415.9265358979</v>
      </c>
      <c r="J221" s="15">
        <f t="shared" si="31"/>
        <v>1856.68125827157</v>
      </c>
      <c r="K221" s="15">
        <f t="shared" si="32"/>
        <v>29559.2452776264</v>
      </c>
      <c r="L221" s="15">
        <f t="shared" si="33"/>
        <v>0.0591</v>
      </c>
      <c r="M221" s="15">
        <f t="shared" si="34"/>
        <v>0.0628122010840684</v>
      </c>
      <c r="N221" s="16">
        <f t="shared" si="35"/>
        <v>66.6666666666667</v>
      </c>
      <c r="O221" s="16">
        <f t="shared" si="36"/>
        <v>563502.761885421</v>
      </c>
      <c r="P221" s="16">
        <f t="shared" si="37"/>
        <v>1383372.67899291</v>
      </c>
      <c r="Q221" s="16">
        <f t="shared" si="38"/>
        <v>6.48504273504274</v>
      </c>
      <c r="R221" s="16">
        <f t="shared" si="39"/>
        <v>0.407339808312281</v>
      </c>
      <c r="S221" s="16">
        <v>12</v>
      </c>
    </row>
    <row r="222" spans="1:19">
      <c r="A222" s="8" t="s">
        <v>208</v>
      </c>
      <c r="B222" s="7">
        <v>200</v>
      </c>
      <c r="C222" s="7">
        <v>3</v>
      </c>
      <c r="D222" s="7">
        <v>600</v>
      </c>
      <c r="E222" s="7">
        <v>303.5</v>
      </c>
      <c r="F222" s="7">
        <v>46.8</v>
      </c>
      <c r="G222" s="8" t="s">
        <v>20</v>
      </c>
      <c r="H222" s="7">
        <v>2160</v>
      </c>
      <c r="I222" s="14">
        <f t="shared" si="30"/>
        <v>31415.9265358979</v>
      </c>
      <c r="J222" s="15">
        <f t="shared" si="31"/>
        <v>1856.68125827157</v>
      </c>
      <c r="K222" s="15">
        <f t="shared" si="32"/>
        <v>29559.2452776264</v>
      </c>
      <c r="L222" s="15">
        <f t="shared" si="33"/>
        <v>0.0591</v>
      </c>
      <c r="M222" s="15">
        <f t="shared" si="34"/>
        <v>0.0628122010840684</v>
      </c>
      <c r="N222" s="16">
        <f t="shared" si="35"/>
        <v>66.6666666666667</v>
      </c>
      <c r="O222" s="16">
        <f t="shared" si="36"/>
        <v>563502.761885421</v>
      </c>
      <c r="P222" s="16">
        <f t="shared" si="37"/>
        <v>1383372.67899291</v>
      </c>
      <c r="Q222" s="16">
        <f t="shared" si="38"/>
        <v>6.48504273504274</v>
      </c>
      <c r="R222" s="16">
        <f t="shared" si="39"/>
        <v>0.407339808312281</v>
      </c>
      <c r="S222" s="16">
        <v>12</v>
      </c>
    </row>
    <row r="223" spans="1:19">
      <c r="A223" s="8" t="s">
        <v>209</v>
      </c>
      <c r="B223" s="7">
        <v>200</v>
      </c>
      <c r="C223" s="7">
        <v>3</v>
      </c>
      <c r="D223" s="7">
        <v>600</v>
      </c>
      <c r="E223" s="7">
        <v>303.5</v>
      </c>
      <c r="F223" s="7">
        <v>46.8</v>
      </c>
      <c r="G223" s="8" t="s">
        <v>20</v>
      </c>
      <c r="H223" s="7">
        <v>2383</v>
      </c>
      <c r="I223" s="14">
        <f t="shared" si="30"/>
        <v>31415.9265358979</v>
      </c>
      <c r="J223" s="15">
        <f t="shared" si="31"/>
        <v>1856.68125827157</v>
      </c>
      <c r="K223" s="15">
        <f t="shared" si="32"/>
        <v>29559.2452776264</v>
      </c>
      <c r="L223" s="15">
        <f t="shared" si="33"/>
        <v>0.0591</v>
      </c>
      <c r="M223" s="15">
        <f t="shared" si="34"/>
        <v>0.0628122010840684</v>
      </c>
      <c r="N223" s="16">
        <f t="shared" si="35"/>
        <v>66.6666666666667</v>
      </c>
      <c r="O223" s="16">
        <f t="shared" si="36"/>
        <v>563502.761885421</v>
      </c>
      <c r="P223" s="16">
        <f t="shared" si="37"/>
        <v>1383372.67899291</v>
      </c>
      <c r="Q223" s="16">
        <f t="shared" si="38"/>
        <v>6.48504273504274</v>
      </c>
      <c r="R223" s="16">
        <f t="shared" si="39"/>
        <v>0.407339808312281</v>
      </c>
      <c r="S223" s="16">
        <v>12</v>
      </c>
    </row>
    <row r="224" spans="1:19">
      <c r="A224" s="8" t="s">
        <v>210</v>
      </c>
      <c r="B224" s="7">
        <v>200</v>
      </c>
      <c r="C224" s="7">
        <v>3</v>
      </c>
      <c r="D224" s="7">
        <v>600</v>
      </c>
      <c r="E224" s="7">
        <v>303.5</v>
      </c>
      <c r="F224" s="7">
        <v>46.8</v>
      </c>
      <c r="G224" s="8" t="s">
        <v>20</v>
      </c>
      <c r="H224" s="7">
        <v>2256</v>
      </c>
      <c r="I224" s="14">
        <f t="shared" si="30"/>
        <v>31415.9265358979</v>
      </c>
      <c r="J224" s="15">
        <f t="shared" si="31"/>
        <v>1856.68125827157</v>
      </c>
      <c r="K224" s="15">
        <f t="shared" si="32"/>
        <v>29559.2452776264</v>
      </c>
      <c r="L224" s="15">
        <f t="shared" si="33"/>
        <v>0.0591</v>
      </c>
      <c r="M224" s="15">
        <f t="shared" si="34"/>
        <v>0.0628122010840684</v>
      </c>
      <c r="N224" s="16">
        <f t="shared" si="35"/>
        <v>66.6666666666667</v>
      </c>
      <c r="O224" s="16">
        <f t="shared" si="36"/>
        <v>563502.761885421</v>
      </c>
      <c r="P224" s="16">
        <f t="shared" si="37"/>
        <v>1383372.67899291</v>
      </c>
      <c r="Q224" s="16">
        <f t="shared" si="38"/>
        <v>6.48504273504274</v>
      </c>
      <c r="R224" s="16">
        <f t="shared" si="39"/>
        <v>0.407339808312281</v>
      </c>
      <c r="S224" s="16">
        <v>12</v>
      </c>
    </row>
    <row r="225" spans="1:19">
      <c r="A225" s="8">
        <v>1</v>
      </c>
      <c r="B225" s="7">
        <v>108</v>
      </c>
      <c r="C225" s="7">
        <v>4.5</v>
      </c>
      <c r="D225" s="7">
        <v>240</v>
      </c>
      <c r="E225" s="7">
        <v>409.64</v>
      </c>
      <c r="F225" s="7">
        <v>28.6</v>
      </c>
      <c r="G225" s="8" t="s">
        <v>20</v>
      </c>
      <c r="H225" s="7">
        <v>1244.6</v>
      </c>
      <c r="I225" s="14">
        <f t="shared" si="30"/>
        <v>9160.88417786784</v>
      </c>
      <c r="J225" s="15">
        <f t="shared" si="31"/>
        <v>1463.19677840945</v>
      </c>
      <c r="K225" s="15">
        <f t="shared" si="32"/>
        <v>7697.68739945839</v>
      </c>
      <c r="L225" s="15">
        <f t="shared" si="33"/>
        <v>0.159722222222222</v>
      </c>
      <c r="M225" s="15">
        <f t="shared" si="34"/>
        <v>0.190082644628099</v>
      </c>
      <c r="N225" s="16">
        <f t="shared" si="35"/>
        <v>24</v>
      </c>
      <c r="O225" s="16">
        <f t="shared" si="36"/>
        <v>599383.928307645</v>
      </c>
      <c r="P225" s="16">
        <f t="shared" si="37"/>
        <v>220153.85962451</v>
      </c>
      <c r="Q225" s="16">
        <f t="shared" si="38"/>
        <v>14.3230769230769</v>
      </c>
      <c r="R225" s="16">
        <f t="shared" si="39"/>
        <v>2.72256834075016</v>
      </c>
      <c r="S225" s="16">
        <v>8.88888888888889</v>
      </c>
    </row>
    <row r="226" spans="1:19">
      <c r="A226" s="8">
        <v>2</v>
      </c>
      <c r="B226" s="7">
        <v>108</v>
      </c>
      <c r="C226" s="7">
        <v>4.5</v>
      </c>
      <c r="D226" s="7">
        <v>240</v>
      </c>
      <c r="E226" s="7">
        <v>409.64</v>
      </c>
      <c r="F226" s="7">
        <v>28.6</v>
      </c>
      <c r="G226" s="8" t="s">
        <v>20</v>
      </c>
      <c r="H226" s="7">
        <v>1234.8</v>
      </c>
      <c r="I226" s="14">
        <f t="shared" si="30"/>
        <v>9160.88417786784</v>
      </c>
      <c r="J226" s="15">
        <f t="shared" si="31"/>
        <v>1463.19677840945</v>
      </c>
      <c r="K226" s="15">
        <f t="shared" si="32"/>
        <v>7697.68739945839</v>
      </c>
      <c r="L226" s="15">
        <f t="shared" si="33"/>
        <v>0.159722222222222</v>
      </c>
      <c r="M226" s="15">
        <f t="shared" si="34"/>
        <v>0.190082644628099</v>
      </c>
      <c r="N226" s="16">
        <f t="shared" si="35"/>
        <v>24</v>
      </c>
      <c r="O226" s="16">
        <f t="shared" si="36"/>
        <v>599383.928307645</v>
      </c>
      <c r="P226" s="16">
        <f t="shared" si="37"/>
        <v>220153.85962451</v>
      </c>
      <c r="Q226" s="16">
        <f t="shared" si="38"/>
        <v>14.3230769230769</v>
      </c>
      <c r="R226" s="16">
        <f t="shared" si="39"/>
        <v>2.72256834075016</v>
      </c>
      <c r="S226" s="16">
        <v>8.88888888888889</v>
      </c>
    </row>
    <row r="227" spans="1:19">
      <c r="A227" s="8">
        <v>3</v>
      </c>
      <c r="B227" s="7">
        <v>108</v>
      </c>
      <c r="C227" s="7">
        <v>4.5</v>
      </c>
      <c r="D227" s="7">
        <v>285</v>
      </c>
      <c r="E227" s="7">
        <v>409.64</v>
      </c>
      <c r="F227" s="7">
        <v>28.6</v>
      </c>
      <c r="G227" s="8" t="s">
        <v>20</v>
      </c>
      <c r="H227" s="7">
        <v>1254.4</v>
      </c>
      <c r="I227" s="14">
        <f t="shared" si="30"/>
        <v>9160.88417786784</v>
      </c>
      <c r="J227" s="15">
        <f t="shared" si="31"/>
        <v>1463.19677840945</v>
      </c>
      <c r="K227" s="15">
        <f t="shared" si="32"/>
        <v>7697.68739945839</v>
      </c>
      <c r="L227" s="15">
        <f t="shared" si="33"/>
        <v>0.159722222222222</v>
      </c>
      <c r="M227" s="15">
        <f t="shared" si="34"/>
        <v>0.190082644628099</v>
      </c>
      <c r="N227" s="16">
        <f t="shared" si="35"/>
        <v>24</v>
      </c>
      <c r="O227" s="16">
        <f t="shared" si="36"/>
        <v>599383.928307645</v>
      </c>
      <c r="P227" s="16">
        <f t="shared" si="37"/>
        <v>220153.85962451</v>
      </c>
      <c r="Q227" s="16">
        <f t="shared" si="38"/>
        <v>14.3230769230769</v>
      </c>
      <c r="R227" s="16">
        <f t="shared" si="39"/>
        <v>2.72256834075016</v>
      </c>
      <c r="S227" s="16">
        <v>10.5555555555556</v>
      </c>
    </row>
    <row r="228" spans="1:19">
      <c r="A228" s="8">
        <v>4</v>
      </c>
      <c r="B228" s="7">
        <v>108</v>
      </c>
      <c r="C228" s="7">
        <v>4.5</v>
      </c>
      <c r="D228" s="7">
        <v>290</v>
      </c>
      <c r="E228" s="7">
        <v>409.64</v>
      </c>
      <c r="F228" s="7">
        <v>28.6</v>
      </c>
      <c r="G228" s="8" t="s">
        <v>20</v>
      </c>
      <c r="H228" s="7">
        <v>1225</v>
      </c>
      <c r="I228" s="14">
        <f t="shared" si="30"/>
        <v>9160.88417786784</v>
      </c>
      <c r="J228" s="15">
        <f t="shared" si="31"/>
        <v>1463.19677840945</v>
      </c>
      <c r="K228" s="15">
        <f t="shared" si="32"/>
        <v>7697.68739945839</v>
      </c>
      <c r="L228" s="15">
        <f t="shared" si="33"/>
        <v>0.159722222222222</v>
      </c>
      <c r="M228" s="15">
        <f t="shared" si="34"/>
        <v>0.190082644628099</v>
      </c>
      <c r="N228" s="16">
        <f t="shared" si="35"/>
        <v>24</v>
      </c>
      <c r="O228" s="16">
        <f t="shared" si="36"/>
        <v>599383.928307645</v>
      </c>
      <c r="P228" s="16">
        <f t="shared" si="37"/>
        <v>220153.85962451</v>
      </c>
      <c r="Q228" s="16">
        <f t="shared" si="38"/>
        <v>14.3230769230769</v>
      </c>
      <c r="R228" s="16">
        <f t="shared" si="39"/>
        <v>2.72256834075016</v>
      </c>
      <c r="S228" s="16">
        <v>10.7407407407407</v>
      </c>
    </row>
    <row r="229" spans="1:19">
      <c r="A229" s="8">
        <v>5</v>
      </c>
      <c r="B229" s="7">
        <v>108</v>
      </c>
      <c r="C229" s="7">
        <v>4.5</v>
      </c>
      <c r="D229" s="7">
        <v>340</v>
      </c>
      <c r="E229" s="7">
        <v>409.64</v>
      </c>
      <c r="F229" s="7">
        <v>28.6</v>
      </c>
      <c r="G229" s="8" t="s">
        <v>20</v>
      </c>
      <c r="H229" s="7">
        <v>1161.3</v>
      </c>
      <c r="I229" s="14">
        <f t="shared" si="30"/>
        <v>9160.88417786784</v>
      </c>
      <c r="J229" s="15">
        <f t="shared" si="31"/>
        <v>1463.19677840945</v>
      </c>
      <c r="K229" s="15">
        <f t="shared" si="32"/>
        <v>7697.68739945839</v>
      </c>
      <c r="L229" s="15">
        <f t="shared" si="33"/>
        <v>0.159722222222222</v>
      </c>
      <c r="M229" s="15">
        <f t="shared" si="34"/>
        <v>0.190082644628099</v>
      </c>
      <c r="N229" s="16">
        <f t="shared" si="35"/>
        <v>24</v>
      </c>
      <c r="O229" s="16">
        <f t="shared" si="36"/>
        <v>599383.928307645</v>
      </c>
      <c r="P229" s="16">
        <f t="shared" si="37"/>
        <v>220153.85962451</v>
      </c>
      <c r="Q229" s="16">
        <f t="shared" si="38"/>
        <v>14.3230769230769</v>
      </c>
      <c r="R229" s="16">
        <f t="shared" si="39"/>
        <v>2.72256834075016</v>
      </c>
      <c r="S229" s="16">
        <v>12.5925925925926</v>
      </c>
    </row>
    <row r="230" spans="1:19">
      <c r="A230" s="8">
        <v>6</v>
      </c>
      <c r="B230" s="7">
        <v>108</v>
      </c>
      <c r="C230" s="7">
        <v>4.5</v>
      </c>
      <c r="D230" s="7">
        <v>380</v>
      </c>
      <c r="E230" s="7">
        <v>409.64</v>
      </c>
      <c r="F230" s="7">
        <v>28.6</v>
      </c>
      <c r="G230" s="8" t="s">
        <v>20</v>
      </c>
      <c r="H230" s="7">
        <v>1166.2</v>
      </c>
      <c r="I230" s="14">
        <f t="shared" si="30"/>
        <v>9160.88417786784</v>
      </c>
      <c r="J230" s="15">
        <f t="shared" si="31"/>
        <v>1463.19677840945</v>
      </c>
      <c r="K230" s="15">
        <f t="shared" si="32"/>
        <v>7697.68739945839</v>
      </c>
      <c r="L230" s="15">
        <f t="shared" si="33"/>
        <v>0.159722222222222</v>
      </c>
      <c r="M230" s="15">
        <f t="shared" si="34"/>
        <v>0.190082644628099</v>
      </c>
      <c r="N230" s="16">
        <f t="shared" si="35"/>
        <v>24</v>
      </c>
      <c r="O230" s="16">
        <f t="shared" si="36"/>
        <v>599383.928307645</v>
      </c>
      <c r="P230" s="16">
        <f t="shared" si="37"/>
        <v>220153.85962451</v>
      </c>
      <c r="Q230" s="16">
        <f t="shared" si="38"/>
        <v>14.3230769230769</v>
      </c>
      <c r="R230" s="16">
        <f t="shared" si="39"/>
        <v>2.72256834075016</v>
      </c>
      <c r="S230" s="16">
        <v>14.0740740740741</v>
      </c>
    </row>
    <row r="231" spans="1:19">
      <c r="A231" s="8">
        <v>7</v>
      </c>
      <c r="B231" s="7">
        <v>108</v>
      </c>
      <c r="C231" s="7">
        <v>4.5</v>
      </c>
      <c r="D231" s="7">
        <v>380</v>
      </c>
      <c r="E231" s="7">
        <v>409.64</v>
      </c>
      <c r="F231" s="7">
        <v>28.6</v>
      </c>
      <c r="G231" s="8" t="s">
        <v>20</v>
      </c>
      <c r="H231" s="7">
        <v>1210.3</v>
      </c>
      <c r="I231" s="14">
        <f t="shared" si="30"/>
        <v>9160.88417786784</v>
      </c>
      <c r="J231" s="15">
        <f t="shared" si="31"/>
        <v>1463.19677840945</v>
      </c>
      <c r="K231" s="15">
        <f t="shared" si="32"/>
        <v>7697.68739945839</v>
      </c>
      <c r="L231" s="15">
        <f t="shared" si="33"/>
        <v>0.159722222222222</v>
      </c>
      <c r="M231" s="15">
        <f t="shared" si="34"/>
        <v>0.190082644628099</v>
      </c>
      <c r="N231" s="16">
        <f t="shared" si="35"/>
        <v>24</v>
      </c>
      <c r="O231" s="16">
        <f t="shared" si="36"/>
        <v>599383.928307645</v>
      </c>
      <c r="P231" s="16">
        <f t="shared" si="37"/>
        <v>220153.85962451</v>
      </c>
      <c r="Q231" s="16">
        <f t="shared" si="38"/>
        <v>14.3230769230769</v>
      </c>
      <c r="R231" s="16">
        <f t="shared" si="39"/>
        <v>2.72256834075016</v>
      </c>
      <c r="S231" s="16">
        <v>14.0740740740741</v>
      </c>
    </row>
    <row r="232" spans="1:19">
      <c r="A232" s="8">
        <v>10</v>
      </c>
      <c r="B232" s="7">
        <v>108</v>
      </c>
      <c r="C232" s="7">
        <v>4.5</v>
      </c>
      <c r="D232" s="7">
        <v>400</v>
      </c>
      <c r="E232" s="7">
        <v>409.64</v>
      </c>
      <c r="F232" s="7">
        <v>28.6</v>
      </c>
      <c r="G232" s="8" t="s">
        <v>20</v>
      </c>
      <c r="H232" s="7">
        <v>1871.8</v>
      </c>
      <c r="I232" s="14">
        <f t="shared" si="30"/>
        <v>9160.88417786784</v>
      </c>
      <c r="J232" s="15">
        <f t="shared" si="31"/>
        <v>1463.19677840945</v>
      </c>
      <c r="K232" s="15">
        <f t="shared" si="32"/>
        <v>7697.68739945839</v>
      </c>
      <c r="L232" s="15">
        <f t="shared" si="33"/>
        <v>0.159722222222222</v>
      </c>
      <c r="M232" s="15">
        <f t="shared" si="34"/>
        <v>0.190082644628099</v>
      </c>
      <c r="N232" s="16">
        <f t="shared" si="35"/>
        <v>24</v>
      </c>
      <c r="O232" s="16">
        <f t="shared" si="36"/>
        <v>599383.928307645</v>
      </c>
      <c r="P232" s="16">
        <f t="shared" si="37"/>
        <v>220153.85962451</v>
      </c>
      <c r="Q232" s="16">
        <f t="shared" si="38"/>
        <v>14.3230769230769</v>
      </c>
      <c r="R232" s="16">
        <f t="shared" si="39"/>
        <v>2.72256834075016</v>
      </c>
      <c r="S232" s="16">
        <v>14.8148148148148</v>
      </c>
    </row>
    <row r="233" spans="1:19">
      <c r="A233" s="8" t="s">
        <v>211</v>
      </c>
      <c r="B233" s="7">
        <v>108.6</v>
      </c>
      <c r="C233" s="7">
        <v>4.6</v>
      </c>
      <c r="D233" s="7">
        <v>326</v>
      </c>
      <c r="E233" s="7">
        <v>271.9</v>
      </c>
      <c r="F233" s="7">
        <v>30.7</v>
      </c>
      <c r="G233" s="8" t="s">
        <v>20</v>
      </c>
      <c r="H233" s="7">
        <v>757</v>
      </c>
      <c r="I233" s="14">
        <f t="shared" si="30"/>
        <v>9262.95452318297</v>
      </c>
      <c r="J233" s="15">
        <f t="shared" si="31"/>
        <v>1502.93792547736</v>
      </c>
      <c r="K233" s="15">
        <f t="shared" si="32"/>
        <v>7760.01659770561</v>
      </c>
      <c r="L233" s="15">
        <f t="shared" si="33"/>
        <v>0.162252542827006</v>
      </c>
      <c r="M233" s="15">
        <f t="shared" si="34"/>
        <v>0.193677153464044</v>
      </c>
      <c r="N233" s="16">
        <f t="shared" si="35"/>
        <v>23.6086956521739</v>
      </c>
      <c r="O233" s="16">
        <f t="shared" si="36"/>
        <v>408648.821937293</v>
      </c>
      <c r="P233" s="16">
        <f t="shared" si="37"/>
        <v>238232.509549562</v>
      </c>
      <c r="Q233" s="16">
        <f t="shared" si="38"/>
        <v>8.85667752442997</v>
      </c>
      <c r="R233" s="16">
        <f t="shared" si="39"/>
        <v>1.71533609208057</v>
      </c>
      <c r="S233" s="16">
        <v>12.0073664825046</v>
      </c>
    </row>
    <row r="234" spans="1:19">
      <c r="A234" s="8">
        <v>1</v>
      </c>
      <c r="B234" s="7">
        <v>114.3</v>
      </c>
      <c r="C234" s="7">
        <v>3.35</v>
      </c>
      <c r="D234" s="7">
        <v>343</v>
      </c>
      <c r="E234" s="7">
        <v>287.33</v>
      </c>
      <c r="F234" s="7">
        <v>32.68</v>
      </c>
      <c r="G234" s="8" t="s">
        <v>20</v>
      </c>
      <c r="H234" s="7">
        <v>737</v>
      </c>
      <c r="I234" s="14">
        <f t="shared" si="30"/>
        <v>10260.8264517243</v>
      </c>
      <c r="J234" s="15">
        <f t="shared" si="31"/>
        <v>1167.67501146789</v>
      </c>
      <c r="K234" s="15">
        <f t="shared" si="32"/>
        <v>9093.15144025644</v>
      </c>
      <c r="L234" s="15">
        <f t="shared" si="33"/>
        <v>0.113799314018381</v>
      </c>
      <c r="M234" s="15">
        <f t="shared" si="34"/>
        <v>0.128412577217009</v>
      </c>
      <c r="N234" s="16">
        <f t="shared" si="35"/>
        <v>34.1194029850746</v>
      </c>
      <c r="O234" s="16">
        <f t="shared" si="36"/>
        <v>335508.061045069</v>
      </c>
      <c r="P234" s="16">
        <f t="shared" si="37"/>
        <v>297164.18906758</v>
      </c>
      <c r="Q234" s="16">
        <f t="shared" si="38"/>
        <v>8.7922276621787</v>
      </c>
      <c r="R234" s="16">
        <f t="shared" si="39"/>
        <v>1.12903261357905</v>
      </c>
      <c r="S234" s="16">
        <v>12.0034995625547</v>
      </c>
    </row>
    <row r="235" spans="1:19">
      <c r="A235" s="8">
        <v>5</v>
      </c>
      <c r="B235" s="7">
        <v>114.3</v>
      </c>
      <c r="C235" s="7">
        <v>3.35</v>
      </c>
      <c r="D235" s="7">
        <v>343</v>
      </c>
      <c r="E235" s="7">
        <v>287.33</v>
      </c>
      <c r="F235" s="7">
        <v>58.68</v>
      </c>
      <c r="G235" s="8" t="s">
        <v>20</v>
      </c>
      <c r="H235" s="7">
        <v>952</v>
      </c>
      <c r="I235" s="14">
        <f t="shared" si="30"/>
        <v>10260.8264517243</v>
      </c>
      <c r="J235" s="15">
        <f t="shared" si="31"/>
        <v>1167.67501146789</v>
      </c>
      <c r="K235" s="15">
        <f t="shared" si="32"/>
        <v>9093.15144025644</v>
      </c>
      <c r="L235" s="15">
        <f t="shared" si="33"/>
        <v>0.113799314018381</v>
      </c>
      <c r="M235" s="15">
        <f t="shared" si="34"/>
        <v>0.128412577217009</v>
      </c>
      <c r="N235" s="16">
        <f t="shared" si="35"/>
        <v>34.1194029850746</v>
      </c>
      <c r="O235" s="16">
        <f t="shared" si="36"/>
        <v>335508.061045069</v>
      </c>
      <c r="P235" s="16">
        <f t="shared" si="37"/>
        <v>533586.126514248</v>
      </c>
      <c r="Q235" s="16">
        <f t="shared" si="38"/>
        <v>4.89655760054533</v>
      </c>
      <c r="R235" s="16">
        <f t="shared" si="39"/>
        <v>0.628779580977561</v>
      </c>
      <c r="S235" s="16">
        <v>12.0034995625547</v>
      </c>
    </row>
    <row r="236" spans="1:19">
      <c r="A236" s="8">
        <v>9</v>
      </c>
      <c r="B236" s="7">
        <v>114.3</v>
      </c>
      <c r="C236" s="7">
        <v>3.35</v>
      </c>
      <c r="D236" s="7">
        <v>343</v>
      </c>
      <c r="E236" s="7">
        <v>287.33</v>
      </c>
      <c r="F236" s="7">
        <v>88.78</v>
      </c>
      <c r="G236" s="8" t="s">
        <v>20</v>
      </c>
      <c r="H236" s="7">
        <v>1136.2</v>
      </c>
      <c r="I236" s="14">
        <f t="shared" si="30"/>
        <v>10260.8264517243</v>
      </c>
      <c r="J236" s="15">
        <f t="shared" si="31"/>
        <v>1167.67501146789</v>
      </c>
      <c r="K236" s="15">
        <f t="shared" si="32"/>
        <v>9093.15144025644</v>
      </c>
      <c r="L236" s="15">
        <f t="shared" si="33"/>
        <v>0.113799314018381</v>
      </c>
      <c r="M236" s="15">
        <f t="shared" si="34"/>
        <v>0.128412577217009</v>
      </c>
      <c r="N236" s="16">
        <f t="shared" si="35"/>
        <v>34.1194029850746</v>
      </c>
      <c r="O236" s="16">
        <f t="shared" si="36"/>
        <v>335508.061045069</v>
      </c>
      <c r="P236" s="16">
        <f t="shared" si="37"/>
        <v>807289.984865967</v>
      </c>
      <c r="Q236" s="16">
        <f t="shared" si="38"/>
        <v>3.23642712322595</v>
      </c>
      <c r="R236" s="16">
        <f t="shared" si="39"/>
        <v>0.415597947868476</v>
      </c>
      <c r="S236" s="16">
        <v>12.0034995625547</v>
      </c>
    </row>
    <row r="237" spans="1:19">
      <c r="A237" s="8">
        <v>13</v>
      </c>
      <c r="B237" s="7">
        <v>114.3</v>
      </c>
      <c r="C237" s="7">
        <v>3.35</v>
      </c>
      <c r="D237" s="7">
        <v>343</v>
      </c>
      <c r="E237" s="7">
        <v>287.33</v>
      </c>
      <c r="F237" s="7">
        <v>105.45</v>
      </c>
      <c r="G237" s="8" t="s">
        <v>20</v>
      </c>
      <c r="H237" s="7">
        <v>1453.1</v>
      </c>
      <c r="I237" s="14">
        <f t="shared" si="30"/>
        <v>10260.8264517243</v>
      </c>
      <c r="J237" s="15">
        <f t="shared" si="31"/>
        <v>1167.67501146789</v>
      </c>
      <c r="K237" s="15">
        <f t="shared" si="32"/>
        <v>9093.15144025644</v>
      </c>
      <c r="L237" s="15">
        <f t="shared" si="33"/>
        <v>0.113799314018381</v>
      </c>
      <c r="M237" s="15">
        <f t="shared" si="34"/>
        <v>0.128412577217009</v>
      </c>
      <c r="N237" s="16">
        <f t="shared" si="35"/>
        <v>34.1194029850746</v>
      </c>
      <c r="O237" s="16">
        <f t="shared" si="36"/>
        <v>335508.061045069</v>
      </c>
      <c r="P237" s="16">
        <f t="shared" si="37"/>
        <v>958872.819375042</v>
      </c>
      <c r="Q237" s="16">
        <f t="shared" si="38"/>
        <v>2.72479848269322</v>
      </c>
      <c r="R237" s="16">
        <f t="shared" si="39"/>
        <v>0.349898395559633</v>
      </c>
      <c r="S237" s="16">
        <v>12.0034995625547</v>
      </c>
    </row>
    <row r="238" spans="1:19">
      <c r="A238" s="8">
        <v>17</v>
      </c>
      <c r="B238" s="7">
        <v>114.3</v>
      </c>
      <c r="C238" s="7">
        <v>6</v>
      </c>
      <c r="D238" s="7">
        <v>343</v>
      </c>
      <c r="E238" s="7">
        <v>342.95</v>
      </c>
      <c r="F238" s="7">
        <v>32.68</v>
      </c>
      <c r="G238" s="8" t="s">
        <v>20</v>
      </c>
      <c r="H238" s="7">
        <v>1075.4</v>
      </c>
      <c r="I238" s="14">
        <f t="shared" si="30"/>
        <v>10260.8264517243</v>
      </c>
      <c r="J238" s="15">
        <f t="shared" si="31"/>
        <v>2041.40690630265</v>
      </c>
      <c r="K238" s="15">
        <f t="shared" si="32"/>
        <v>8219.41954542168</v>
      </c>
      <c r="L238" s="15">
        <f t="shared" si="33"/>
        <v>0.198951509014129</v>
      </c>
      <c r="M238" s="15">
        <f t="shared" si="34"/>
        <v>0.248363877159639</v>
      </c>
      <c r="N238" s="16">
        <f t="shared" si="35"/>
        <v>19.05</v>
      </c>
      <c r="O238" s="16">
        <f t="shared" si="36"/>
        <v>700100.498516493</v>
      </c>
      <c r="P238" s="16">
        <f t="shared" si="37"/>
        <v>268610.630744381</v>
      </c>
      <c r="Q238" s="16">
        <f t="shared" si="38"/>
        <v>10.4941860465116</v>
      </c>
      <c r="R238" s="16">
        <f t="shared" si="39"/>
        <v>2.60637673414621</v>
      </c>
      <c r="S238" s="16">
        <v>12.0034995625547</v>
      </c>
    </row>
    <row r="239" spans="1:19">
      <c r="A239" s="8">
        <v>21</v>
      </c>
      <c r="B239" s="7">
        <v>114.3</v>
      </c>
      <c r="C239" s="7">
        <v>6</v>
      </c>
      <c r="D239" s="7">
        <v>343</v>
      </c>
      <c r="E239" s="7">
        <v>342.95</v>
      </c>
      <c r="F239" s="7">
        <v>58.68</v>
      </c>
      <c r="G239" s="8" t="s">
        <v>20</v>
      </c>
      <c r="H239" s="7">
        <v>1329.1</v>
      </c>
      <c r="I239" s="14">
        <f t="shared" si="30"/>
        <v>10260.8264517243</v>
      </c>
      <c r="J239" s="15">
        <f t="shared" si="31"/>
        <v>2041.40690630265</v>
      </c>
      <c r="K239" s="15">
        <f t="shared" si="32"/>
        <v>8219.41954542168</v>
      </c>
      <c r="L239" s="15">
        <f t="shared" si="33"/>
        <v>0.198951509014129</v>
      </c>
      <c r="M239" s="15">
        <f t="shared" si="34"/>
        <v>0.248363877159639</v>
      </c>
      <c r="N239" s="16">
        <f t="shared" si="35"/>
        <v>19.05</v>
      </c>
      <c r="O239" s="16">
        <f t="shared" si="36"/>
        <v>700100.498516493</v>
      </c>
      <c r="P239" s="16">
        <f t="shared" si="37"/>
        <v>482315.538925344</v>
      </c>
      <c r="Q239" s="16">
        <f t="shared" si="38"/>
        <v>5.84441036128153</v>
      </c>
      <c r="R239" s="16">
        <f t="shared" si="39"/>
        <v>1.45154041703985</v>
      </c>
      <c r="S239" s="16">
        <v>12.0034995625547</v>
      </c>
    </row>
    <row r="240" spans="1:19">
      <c r="A240" s="8">
        <v>25</v>
      </c>
      <c r="B240" s="7">
        <v>114.3</v>
      </c>
      <c r="C240" s="7">
        <v>6</v>
      </c>
      <c r="D240" s="7">
        <v>343</v>
      </c>
      <c r="E240" s="7">
        <v>342.95</v>
      </c>
      <c r="F240" s="7">
        <v>88.78</v>
      </c>
      <c r="G240" s="8" t="s">
        <v>20</v>
      </c>
      <c r="H240" s="7">
        <v>1496</v>
      </c>
      <c r="I240" s="14">
        <f t="shared" si="30"/>
        <v>10260.8264517243</v>
      </c>
      <c r="J240" s="15">
        <f t="shared" si="31"/>
        <v>2041.40690630265</v>
      </c>
      <c r="K240" s="15">
        <f t="shared" si="32"/>
        <v>8219.41954542168</v>
      </c>
      <c r="L240" s="15">
        <f t="shared" si="33"/>
        <v>0.198951509014129</v>
      </c>
      <c r="M240" s="15">
        <f t="shared" si="34"/>
        <v>0.248363877159639</v>
      </c>
      <c r="N240" s="16">
        <f t="shared" si="35"/>
        <v>19.05</v>
      </c>
      <c r="O240" s="16">
        <f t="shared" si="36"/>
        <v>700100.498516493</v>
      </c>
      <c r="P240" s="16">
        <f t="shared" si="37"/>
        <v>729720.067242537</v>
      </c>
      <c r="Q240" s="16">
        <f t="shared" si="38"/>
        <v>3.86291957648119</v>
      </c>
      <c r="R240" s="16">
        <f t="shared" si="39"/>
        <v>0.95940968317074</v>
      </c>
      <c r="S240" s="16">
        <v>12.0034995625547</v>
      </c>
    </row>
    <row r="241" spans="1:19">
      <c r="A241" s="8">
        <v>29</v>
      </c>
      <c r="B241" s="7">
        <v>114.3</v>
      </c>
      <c r="C241" s="7">
        <v>6</v>
      </c>
      <c r="D241" s="7">
        <v>343</v>
      </c>
      <c r="E241" s="7">
        <v>342.95</v>
      </c>
      <c r="F241" s="7">
        <v>105.45</v>
      </c>
      <c r="G241" s="8" t="s">
        <v>20</v>
      </c>
      <c r="H241" s="7">
        <v>1683.4</v>
      </c>
      <c r="I241" s="14">
        <f t="shared" si="30"/>
        <v>10260.8264517243</v>
      </c>
      <c r="J241" s="15">
        <f t="shared" si="31"/>
        <v>2041.40690630265</v>
      </c>
      <c r="K241" s="15">
        <f t="shared" si="32"/>
        <v>8219.41954542168</v>
      </c>
      <c r="L241" s="15">
        <f t="shared" si="33"/>
        <v>0.198951509014129</v>
      </c>
      <c r="M241" s="15">
        <f t="shared" si="34"/>
        <v>0.248363877159639</v>
      </c>
      <c r="N241" s="16">
        <f t="shared" si="35"/>
        <v>19.05</v>
      </c>
      <c r="O241" s="16">
        <f t="shared" si="36"/>
        <v>700100.498516493</v>
      </c>
      <c r="P241" s="16">
        <f t="shared" si="37"/>
        <v>866737.791064716</v>
      </c>
      <c r="Q241" s="16">
        <f t="shared" si="38"/>
        <v>3.25225225225225</v>
      </c>
      <c r="R241" s="16">
        <f t="shared" si="39"/>
        <v>0.807741978870538</v>
      </c>
      <c r="S241" s="16">
        <v>12.0034995625547</v>
      </c>
    </row>
    <row r="242" spans="1:19">
      <c r="A242" s="8">
        <v>33</v>
      </c>
      <c r="B242" s="7">
        <v>114.3</v>
      </c>
      <c r="C242" s="7">
        <v>6</v>
      </c>
      <c r="D242" s="7">
        <v>343</v>
      </c>
      <c r="E242" s="7">
        <v>342.95</v>
      </c>
      <c r="F242" s="7">
        <v>73.3</v>
      </c>
      <c r="G242" s="8" t="s">
        <v>20</v>
      </c>
      <c r="H242" s="7">
        <v>1361.6</v>
      </c>
      <c r="I242" s="14">
        <f t="shared" si="30"/>
        <v>10260.8264517243</v>
      </c>
      <c r="J242" s="15">
        <f t="shared" si="31"/>
        <v>2041.40690630265</v>
      </c>
      <c r="K242" s="15">
        <f t="shared" si="32"/>
        <v>8219.41954542168</v>
      </c>
      <c r="L242" s="15">
        <f t="shared" si="33"/>
        <v>0.198951509014129</v>
      </c>
      <c r="M242" s="15">
        <f t="shared" si="34"/>
        <v>0.248363877159639</v>
      </c>
      <c r="N242" s="16">
        <f t="shared" si="35"/>
        <v>19.05</v>
      </c>
      <c r="O242" s="16">
        <f t="shared" si="36"/>
        <v>700100.498516493</v>
      </c>
      <c r="P242" s="16">
        <f t="shared" si="37"/>
        <v>602483.452679409</v>
      </c>
      <c r="Q242" s="16">
        <f t="shared" si="38"/>
        <v>4.67871759890859</v>
      </c>
      <c r="R242" s="16">
        <f t="shared" si="39"/>
        <v>1.16202444299998</v>
      </c>
      <c r="S242" s="16">
        <v>12.0034995625547</v>
      </c>
    </row>
    <row r="243" spans="1:19">
      <c r="A243" s="8">
        <v>1</v>
      </c>
      <c r="B243" s="7">
        <v>219</v>
      </c>
      <c r="C243" s="7">
        <v>4.78</v>
      </c>
      <c r="D243" s="7">
        <v>650</v>
      </c>
      <c r="E243" s="7">
        <v>350</v>
      </c>
      <c r="F243" s="7">
        <v>41.9</v>
      </c>
      <c r="G243" s="8" t="s">
        <v>20</v>
      </c>
      <c r="H243" s="7">
        <v>3400</v>
      </c>
      <c r="I243" s="14">
        <f t="shared" si="30"/>
        <v>37668.481314705</v>
      </c>
      <c r="J243" s="15">
        <f t="shared" si="31"/>
        <v>3216.90165604459</v>
      </c>
      <c r="K243" s="15">
        <f t="shared" si="32"/>
        <v>34451.5796586604</v>
      </c>
      <c r="L243" s="15">
        <f t="shared" si="33"/>
        <v>0.0854003544546611</v>
      </c>
      <c r="M243" s="15">
        <f t="shared" si="34"/>
        <v>0.0933745763740597</v>
      </c>
      <c r="N243" s="16">
        <f t="shared" si="35"/>
        <v>45.81589958159</v>
      </c>
      <c r="O243" s="16">
        <f t="shared" si="36"/>
        <v>1125915.57961561</v>
      </c>
      <c r="P243" s="16">
        <f t="shared" si="37"/>
        <v>1443521.18769787</v>
      </c>
      <c r="Q243" s="16">
        <f t="shared" si="38"/>
        <v>8.35322195704057</v>
      </c>
      <c r="R243" s="16">
        <f t="shared" si="39"/>
        <v>0.779978561597157</v>
      </c>
      <c r="S243" s="16">
        <v>11.8721461187215</v>
      </c>
    </row>
    <row r="244" spans="1:19">
      <c r="A244" s="8">
        <v>2</v>
      </c>
      <c r="B244" s="7">
        <v>219</v>
      </c>
      <c r="C244" s="7">
        <v>4.72</v>
      </c>
      <c r="D244" s="7">
        <v>650</v>
      </c>
      <c r="E244" s="7">
        <v>350</v>
      </c>
      <c r="F244" s="7">
        <v>41.9</v>
      </c>
      <c r="G244" s="8" t="s">
        <v>20</v>
      </c>
      <c r="H244" s="7">
        <v>3350</v>
      </c>
      <c r="I244" s="14">
        <f t="shared" si="30"/>
        <v>37668.481314705</v>
      </c>
      <c r="J244" s="15">
        <f t="shared" si="31"/>
        <v>3177.41183638896</v>
      </c>
      <c r="K244" s="15">
        <f t="shared" si="32"/>
        <v>34491.0694783161</v>
      </c>
      <c r="L244" s="15">
        <f t="shared" si="33"/>
        <v>0.084352002668835</v>
      </c>
      <c r="M244" s="15">
        <f t="shared" si="34"/>
        <v>0.0921227403048938</v>
      </c>
      <c r="N244" s="16">
        <f t="shared" si="35"/>
        <v>46.3983050847458</v>
      </c>
      <c r="O244" s="16">
        <f t="shared" si="36"/>
        <v>1112094.14273614</v>
      </c>
      <c r="P244" s="16">
        <f t="shared" si="37"/>
        <v>1445175.81114144</v>
      </c>
      <c r="Q244" s="16">
        <f t="shared" si="38"/>
        <v>8.35322195704057</v>
      </c>
      <c r="R244" s="16">
        <f t="shared" si="39"/>
        <v>0.769521697057586</v>
      </c>
      <c r="S244" s="16">
        <v>11.8721461187215</v>
      </c>
    </row>
    <row r="245" spans="1:19">
      <c r="A245" s="8">
        <v>3</v>
      </c>
      <c r="B245" s="7">
        <v>219</v>
      </c>
      <c r="C245" s="7">
        <v>4.75</v>
      </c>
      <c r="D245" s="7">
        <v>650</v>
      </c>
      <c r="E245" s="7">
        <v>350</v>
      </c>
      <c r="F245" s="7">
        <v>34.1</v>
      </c>
      <c r="G245" s="8" t="s">
        <v>20</v>
      </c>
      <c r="H245" s="7">
        <v>3150</v>
      </c>
      <c r="I245" s="14">
        <f t="shared" si="30"/>
        <v>37668.481314705</v>
      </c>
      <c r="J245" s="15">
        <f t="shared" si="31"/>
        <v>3197.15957365016</v>
      </c>
      <c r="K245" s="15">
        <f t="shared" si="32"/>
        <v>34471.3217410549</v>
      </c>
      <c r="L245" s="15">
        <f t="shared" si="33"/>
        <v>0.0848762536227351</v>
      </c>
      <c r="M245" s="15">
        <f t="shared" si="34"/>
        <v>0.0927483894486817</v>
      </c>
      <c r="N245" s="16">
        <f t="shared" si="35"/>
        <v>46.1052631578947</v>
      </c>
      <c r="O245" s="16">
        <f t="shared" si="36"/>
        <v>1119005.85077756</v>
      </c>
      <c r="P245" s="16">
        <f t="shared" si="37"/>
        <v>1175472.07136997</v>
      </c>
      <c r="Q245" s="16">
        <f t="shared" si="38"/>
        <v>10.2639296187683</v>
      </c>
      <c r="R245" s="16">
        <f t="shared" si="39"/>
        <v>0.951962941555384</v>
      </c>
      <c r="S245" s="16">
        <v>11.8721461187215</v>
      </c>
    </row>
    <row r="246" spans="1:19">
      <c r="A246" s="8">
        <v>4</v>
      </c>
      <c r="B246" s="7">
        <v>219</v>
      </c>
      <c r="C246" s="7">
        <v>4.74</v>
      </c>
      <c r="D246" s="7">
        <v>650</v>
      </c>
      <c r="E246" s="7">
        <v>350</v>
      </c>
      <c r="F246" s="7">
        <v>41.9</v>
      </c>
      <c r="G246" s="8" t="s">
        <v>20</v>
      </c>
      <c r="H246" s="7">
        <v>3160</v>
      </c>
      <c r="I246" s="14">
        <f t="shared" si="30"/>
        <v>37668.481314705</v>
      </c>
      <c r="J246" s="15">
        <f t="shared" si="31"/>
        <v>3190.57762288163</v>
      </c>
      <c r="K246" s="15">
        <f t="shared" si="32"/>
        <v>34477.9036918234</v>
      </c>
      <c r="L246" s="15">
        <f t="shared" si="33"/>
        <v>0.0847015199849878</v>
      </c>
      <c r="M246" s="15">
        <f t="shared" si="34"/>
        <v>0.0925397800109955</v>
      </c>
      <c r="N246" s="16">
        <f t="shared" si="35"/>
        <v>46.2025316455696</v>
      </c>
      <c r="O246" s="16">
        <f t="shared" si="36"/>
        <v>1116702.16800857</v>
      </c>
      <c r="P246" s="16">
        <f t="shared" si="37"/>
        <v>1444624.1646874</v>
      </c>
      <c r="Q246" s="16">
        <f t="shared" si="38"/>
        <v>8.35322195704057</v>
      </c>
      <c r="R246" s="16">
        <f t="shared" si="39"/>
        <v>0.773005322287552</v>
      </c>
      <c r="S246" s="16">
        <v>11.8721461187215</v>
      </c>
    </row>
    <row r="247" spans="1:19">
      <c r="A247" s="5">
        <v>5</v>
      </c>
      <c r="B247" s="6">
        <v>219</v>
      </c>
      <c r="C247" s="6">
        <v>4.73</v>
      </c>
      <c r="D247" s="6">
        <v>650</v>
      </c>
      <c r="E247" s="6">
        <v>350</v>
      </c>
      <c r="F247" s="6">
        <v>34.1</v>
      </c>
      <c r="G247" s="5" t="s">
        <v>20</v>
      </c>
      <c r="H247" s="6">
        <v>3150</v>
      </c>
      <c r="I247" s="14">
        <f t="shared" si="30"/>
        <v>37668.481314705</v>
      </c>
      <c r="J247" s="15">
        <f t="shared" si="31"/>
        <v>3183.99504379456</v>
      </c>
      <c r="K247" s="15">
        <f t="shared" si="32"/>
        <v>34484.4862709105</v>
      </c>
      <c r="L247" s="15">
        <f t="shared" si="33"/>
        <v>0.0845267696670212</v>
      </c>
      <c r="M247" s="15">
        <f t="shared" si="34"/>
        <v>0.092331230304</v>
      </c>
      <c r="N247" s="16">
        <f t="shared" si="35"/>
        <v>46.3002114164905</v>
      </c>
      <c r="O247" s="16">
        <f t="shared" si="36"/>
        <v>1114398.2653281</v>
      </c>
      <c r="P247" s="16">
        <f t="shared" si="37"/>
        <v>1175920.98183805</v>
      </c>
      <c r="Q247" s="16">
        <f t="shared" si="38"/>
        <v>10.2639296187683</v>
      </c>
      <c r="R247" s="16">
        <f t="shared" si="39"/>
        <v>0.947681249454546</v>
      </c>
      <c r="S247" s="16">
        <v>11.8721461187215</v>
      </c>
    </row>
    <row r="248" spans="1:19">
      <c r="A248" s="5">
        <v>6</v>
      </c>
      <c r="B248" s="6">
        <v>219</v>
      </c>
      <c r="C248" s="6">
        <v>4.72</v>
      </c>
      <c r="D248" s="6">
        <v>650</v>
      </c>
      <c r="E248" s="6">
        <v>350</v>
      </c>
      <c r="F248" s="6">
        <v>41.9</v>
      </c>
      <c r="G248" s="5" t="s">
        <v>20</v>
      </c>
      <c r="H248" s="6">
        <v>3380</v>
      </c>
      <c r="I248" s="14">
        <f t="shared" si="30"/>
        <v>37668.481314705</v>
      </c>
      <c r="J248" s="15">
        <f t="shared" si="31"/>
        <v>3177.41183638896</v>
      </c>
      <c r="K248" s="15">
        <f t="shared" si="32"/>
        <v>34491.0694783161</v>
      </c>
      <c r="L248" s="15">
        <f t="shared" si="33"/>
        <v>0.084352002668835</v>
      </c>
      <c r="M248" s="15">
        <f t="shared" si="34"/>
        <v>0.0921227403048938</v>
      </c>
      <c r="N248" s="16">
        <f t="shared" si="35"/>
        <v>46.3983050847458</v>
      </c>
      <c r="O248" s="16">
        <f t="shared" si="36"/>
        <v>1112094.14273614</v>
      </c>
      <c r="P248" s="16">
        <f t="shared" si="37"/>
        <v>1445175.81114144</v>
      </c>
      <c r="Q248" s="16">
        <f t="shared" si="38"/>
        <v>8.35322195704057</v>
      </c>
      <c r="R248" s="16">
        <f t="shared" si="39"/>
        <v>0.769521697057586</v>
      </c>
      <c r="S248" s="16">
        <v>11.8721461187215</v>
      </c>
    </row>
    <row r="249" spans="1:19">
      <c r="A249" s="5">
        <v>7</v>
      </c>
      <c r="B249" s="6">
        <v>219</v>
      </c>
      <c r="C249" s="6">
        <v>4.73</v>
      </c>
      <c r="D249" s="6">
        <v>650</v>
      </c>
      <c r="E249" s="6">
        <v>350</v>
      </c>
      <c r="F249" s="6">
        <v>41.9</v>
      </c>
      <c r="G249" s="5" t="s">
        <v>20</v>
      </c>
      <c r="H249" s="6">
        <v>3600</v>
      </c>
      <c r="I249" s="14">
        <f t="shared" si="30"/>
        <v>37668.481314705</v>
      </c>
      <c r="J249" s="15">
        <f t="shared" si="31"/>
        <v>3183.99504379456</v>
      </c>
      <c r="K249" s="15">
        <f t="shared" si="32"/>
        <v>34484.4862709105</v>
      </c>
      <c r="L249" s="15">
        <f t="shared" si="33"/>
        <v>0.0845267696670212</v>
      </c>
      <c r="M249" s="15">
        <f t="shared" si="34"/>
        <v>0.092331230304</v>
      </c>
      <c r="N249" s="16">
        <f t="shared" si="35"/>
        <v>46.3002114164905</v>
      </c>
      <c r="O249" s="16">
        <f t="shared" si="36"/>
        <v>1114398.2653281</v>
      </c>
      <c r="P249" s="16">
        <f t="shared" si="37"/>
        <v>1444899.97475115</v>
      </c>
      <c r="Q249" s="16">
        <f t="shared" si="38"/>
        <v>8.35322195704057</v>
      </c>
      <c r="R249" s="16">
        <f t="shared" si="39"/>
        <v>0.771263260295943</v>
      </c>
      <c r="S249" s="16">
        <v>11.8721461187215</v>
      </c>
    </row>
    <row r="250" spans="1:19">
      <c r="A250" s="5">
        <v>8</v>
      </c>
      <c r="B250" s="6">
        <v>219</v>
      </c>
      <c r="C250" s="6">
        <v>4.73</v>
      </c>
      <c r="D250" s="6">
        <v>650</v>
      </c>
      <c r="E250" s="6">
        <v>350</v>
      </c>
      <c r="F250" s="6">
        <v>41.9</v>
      </c>
      <c r="G250" s="5" t="s">
        <v>20</v>
      </c>
      <c r="H250" s="6">
        <v>2900</v>
      </c>
      <c r="I250" s="14">
        <f t="shared" si="30"/>
        <v>37668.481314705</v>
      </c>
      <c r="J250" s="15">
        <f t="shared" si="31"/>
        <v>3183.99504379456</v>
      </c>
      <c r="K250" s="15">
        <f t="shared" si="32"/>
        <v>34484.4862709105</v>
      </c>
      <c r="L250" s="15">
        <f t="shared" si="33"/>
        <v>0.0845267696670212</v>
      </c>
      <c r="M250" s="15">
        <f t="shared" si="34"/>
        <v>0.092331230304</v>
      </c>
      <c r="N250" s="16">
        <f t="shared" si="35"/>
        <v>46.3002114164905</v>
      </c>
      <c r="O250" s="16">
        <f t="shared" si="36"/>
        <v>1114398.2653281</v>
      </c>
      <c r="P250" s="16">
        <f t="shared" si="37"/>
        <v>1444899.97475115</v>
      </c>
      <c r="Q250" s="16">
        <f t="shared" si="38"/>
        <v>8.35322195704057</v>
      </c>
      <c r="R250" s="16">
        <f t="shared" si="39"/>
        <v>0.771263260295943</v>
      </c>
      <c r="S250" s="16">
        <v>11.8721461187215</v>
      </c>
    </row>
    <row r="251" spans="1:19">
      <c r="A251" s="5">
        <v>9</v>
      </c>
      <c r="B251" s="6">
        <v>219</v>
      </c>
      <c r="C251" s="6">
        <v>4.74</v>
      </c>
      <c r="D251" s="6">
        <v>650</v>
      </c>
      <c r="E251" s="6">
        <v>350</v>
      </c>
      <c r="F251" s="6">
        <v>41.9</v>
      </c>
      <c r="G251" s="5" t="s">
        <v>20</v>
      </c>
      <c r="H251" s="6">
        <v>2680</v>
      </c>
      <c r="I251" s="14">
        <f t="shared" si="30"/>
        <v>37668.481314705</v>
      </c>
      <c r="J251" s="15">
        <f t="shared" si="31"/>
        <v>3190.57762288163</v>
      </c>
      <c r="K251" s="15">
        <f t="shared" si="32"/>
        <v>34477.9036918234</v>
      </c>
      <c r="L251" s="15">
        <f t="shared" si="33"/>
        <v>0.0847015199849878</v>
      </c>
      <c r="M251" s="15">
        <f t="shared" si="34"/>
        <v>0.0925397800109955</v>
      </c>
      <c r="N251" s="16">
        <f t="shared" si="35"/>
        <v>46.2025316455696</v>
      </c>
      <c r="O251" s="16">
        <f t="shared" si="36"/>
        <v>1116702.16800857</v>
      </c>
      <c r="P251" s="16">
        <f t="shared" si="37"/>
        <v>1444624.1646874</v>
      </c>
      <c r="Q251" s="16">
        <f t="shared" si="38"/>
        <v>8.35322195704057</v>
      </c>
      <c r="R251" s="16">
        <f t="shared" si="39"/>
        <v>0.773005322287552</v>
      </c>
      <c r="S251" s="16">
        <v>11.8721461187215</v>
      </c>
    </row>
    <row r="252" spans="1:19">
      <c r="A252" s="8">
        <v>10</v>
      </c>
      <c r="B252" s="7">
        <v>165</v>
      </c>
      <c r="C252" s="7">
        <v>2.43</v>
      </c>
      <c r="D252" s="7">
        <v>510</v>
      </c>
      <c r="E252" s="7">
        <v>350</v>
      </c>
      <c r="F252" s="7">
        <v>68.7</v>
      </c>
      <c r="G252" s="8" t="s">
        <v>20</v>
      </c>
      <c r="H252" s="7">
        <v>2080</v>
      </c>
      <c r="I252" s="14">
        <f t="shared" si="30"/>
        <v>21382.4649984955</v>
      </c>
      <c r="J252" s="15">
        <f t="shared" si="31"/>
        <v>1241.07078399665</v>
      </c>
      <c r="K252" s="15">
        <f t="shared" si="32"/>
        <v>20141.3942144989</v>
      </c>
      <c r="L252" s="15">
        <f t="shared" si="33"/>
        <v>0.0580415206611572</v>
      </c>
      <c r="M252" s="15">
        <f t="shared" si="34"/>
        <v>0.0616179183416835</v>
      </c>
      <c r="N252" s="16">
        <f t="shared" si="35"/>
        <v>67.9012345679012</v>
      </c>
      <c r="O252" s="16">
        <f t="shared" si="36"/>
        <v>434374.774398827</v>
      </c>
      <c r="P252" s="16">
        <f t="shared" si="37"/>
        <v>1383713.78253607</v>
      </c>
      <c r="Q252" s="16">
        <f t="shared" si="38"/>
        <v>5.09461426491994</v>
      </c>
      <c r="R252" s="16">
        <f t="shared" si="39"/>
        <v>0.313919525758213</v>
      </c>
      <c r="S252" s="16">
        <v>12.3636363636364</v>
      </c>
    </row>
    <row r="253" spans="1:19">
      <c r="A253" s="8">
        <v>11</v>
      </c>
      <c r="B253" s="7">
        <v>165</v>
      </c>
      <c r="C253" s="7">
        <v>2.76</v>
      </c>
      <c r="D253" s="7">
        <v>510</v>
      </c>
      <c r="E253" s="7">
        <v>350</v>
      </c>
      <c r="F253" s="7">
        <v>68.7</v>
      </c>
      <c r="G253" s="8" t="s">
        <v>20</v>
      </c>
      <c r="H253" s="7">
        <v>2060</v>
      </c>
      <c r="I253" s="14">
        <f t="shared" si="30"/>
        <v>21382.4649984955</v>
      </c>
      <c r="J253" s="15">
        <f t="shared" si="31"/>
        <v>1406.74989824681</v>
      </c>
      <c r="K253" s="15">
        <f t="shared" si="32"/>
        <v>19975.7151002487</v>
      </c>
      <c r="L253" s="15">
        <f t="shared" si="33"/>
        <v>0.0657898842975208</v>
      </c>
      <c r="M253" s="15">
        <f t="shared" si="34"/>
        <v>0.0704230056940136</v>
      </c>
      <c r="N253" s="16">
        <f t="shared" si="35"/>
        <v>59.7826086956522</v>
      </c>
      <c r="O253" s="16">
        <f t="shared" si="36"/>
        <v>492362.464386383</v>
      </c>
      <c r="P253" s="16">
        <f t="shared" si="37"/>
        <v>1372331.62738709</v>
      </c>
      <c r="Q253" s="16">
        <f t="shared" si="38"/>
        <v>5.09461426491994</v>
      </c>
      <c r="R253" s="16">
        <f t="shared" si="39"/>
        <v>0.35877804938726</v>
      </c>
      <c r="S253" s="16">
        <v>12.3636363636364</v>
      </c>
    </row>
    <row r="254" spans="1:19">
      <c r="A254" s="8">
        <v>12</v>
      </c>
      <c r="B254" s="7">
        <v>165</v>
      </c>
      <c r="C254" s="7">
        <v>2.81</v>
      </c>
      <c r="D254" s="7">
        <v>510</v>
      </c>
      <c r="E254" s="7">
        <v>350</v>
      </c>
      <c r="F254" s="7">
        <v>68.7</v>
      </c>
      <c r="G254" s="8" t="s">
        <v>20</v>
      </c>
      <c r="H254" s="7">
        <v>2160</v>
      </c>
      <c r="I254" s="14">
        <f t="shared" si="30"/>
        <v>21382.4649984955</v>
      </c>
      <c r="J254" s="15">
        <f t="shared" si="31"/>
        <v>1431.7931040849</v>
      </c>
      <c r="K254" s="15">
        <f t="shared" si="32"/>
        <v>19950.6718944106</v>
      </c>
      <c r="L254" s="15">
        <f t="shared" si="33"/>
        <v>0.0669610872359964</v>
      </c>
      <c r="M254" s="15">
        <f t="shared" si="34"/>
        <v>0.0717666608755182</v>
      </c>
      <c r="N254" s="16">
        <f t="shared" si="35"/>
        <v>58.7188612099644</v>
      </c>
      <c r="O254" s="16">
        <f t="shared" si="36"/>
        <v>501127.586429715</v>
      </c>
      <c r="P254" s="16">
        <f t="shared" si="37"/>
        <v>1370611.15914601</v>
      </c>
      <c r="Q254" s="16">
        <f t="shared" si="38"/>
        <v>5.09461426491994</v>
      </c>
      <c r="R254" s="16">
        <f t="shared" si="39"/>
        <v>0.365623454242087</v>
      </c>
      <c r="S254" s="16">
        <v>12.3636363636364</v>
      </c>
    </row>
    <row r="255" spans="1:19">
      <c r="A255" s="8">
        <v>13</v>
      </c>
      <c r="B255" s="7">
        <v>165</v>
      </c>
      <c r="C255" s="7">
        <v>2.81</v>
      </c>
      <c r="D255" s="7">
        <v>510</v>
      </c>
      <c r="E255" s="7">
        <v>350</v>
      </c>
      <c r="F255" s="7">
        <v>68.7</v>
      </c>
      <c r="G255" s="8" t="s">
        <v>20</v>
      </c>
      <c r="H255" s="7">
        <v>2095</v>
      </c>
      <c r="I255" s="14">
        <f t="shared" si="30"/>
        <v>21382.4649984955</v>
      </c>
      <c r="J255" s="15">
        <f t="shared" si="31"/>
        <v>1431.7931040849</v>
      </c>
      <c r="K255" s="15">
        <f t="shared" si="32"/>
        <v>19950.6718944106</v>
      </c>
      <c r="L255" s="15">
        <f t="shared" si="33"/>
        <v>0.0669610872359964</v>
      </c>
      <c r="M255" s="15">
        <f t="shared" si="34"/>
        <v>0.0717666608755182</v>
      </c>
      <c r="N255" s="16">
        <f t="shared" si="35"/>
        <v>58.7188612099644</v>
      </c>
      <c r="O255" s="16">
        <f t="shared" si="36"/>
        <v>501127.586429715</v>
      </c>
      <c r="P255" s="16">
        <f t="shared" si="37"/>
        <v>1370611.15914601</v>
      </c>
      <c r="Q255" s="16">
        <f t="shared" si="38"/>
        <v>5.09461426491994</v>
      </c>
      <c r="R255" s="16">
        <f t="shared" si="39"/>
        <v>0.365623454242087</v>
      </c>
      <c r="S255" s="16">
        <v>12.3636363636364</v>
      </c>
    </row>
    <row r="256" spans="1:19">
      <c r="A256" s="8">
        <v>14</v>
      </c>
      <c r="B256" s="7">
        <v>165</v>
      </c>
      <c r="C256" s="7">
        <v>2.76</v>
      </c>
      <c r="D256" s="7">
        <v>510</v>
      </c>
      <c r="E256" s="7">
        <v>350</v>
      </c>
      <c r="F256" s="7">
        <v>68.7</v>
      </c>
      <c r="G256" s="8" t="s">
        <v>20</v>
      </c>
      <c r="H256" s="7">
        <v>2250</v>
      </c>
      <c r="I256" s="14">
        <f t="shared" si="30"/>
        <v>21382.4649984955</v>
      </c>
      <c r="J256" s="15">
        <f t="shared" si="31"/>
        <v>1406.74989824681</v>
      </c>
      <c r="K256" s="15">
        <f t="shared" si="32"/>
        <v>19975.7151002487</v>
      </c>
      <c r="L256" s="15">
        <f t="shared" si="33"/>
        <v>0.0657898842975208</v>
      </c>
      <c r="M256" s="15">
        <f t="shared" si="34"/>
        <v>0.0704230056940136</v>
      </c>
      <c r="N256" s="16">
        <f t="shared" si="35"/>
        <v>59.7826086956522</v>
      </c>
      <c r="O256" s="16">
        <f t="shared" si="36"/>
        <v>492362.464386383</v>
      </c>
      <c r="P256" s="16">
        <f t="shared" si="37"/>
        <v>1372331.62738709</v>
      </c>
      <c r="Q256" s="16">
        <f t="shared" si="38"/>
        <v>5.09461426491994</v>
      </c>
      <c r="R256" s="16">
        <f t="shared" si="39"/>
        <v>0.35877804938726</v>
      </c>
      <c r="S256" s="16">
        <v>12.3636363636364</v>
      </c>
    </row>
    <row r="257" spans="1:19">
      <c r="A257" s="8">
        <v>15</v>
      </c>
      <c r="B257" s="7">
        <v>165</v>
      </c>
      <c r="C257" s="7">
        <v>2.72</v>
      </c>
      <c r="D257" s="7">
        <v>510</v>
      </c>
      <c r="E257" s="7">
        <v>350</v>
      </c>
      <c r="F257" s="7">
        <v>48.5</v>
      </c>
      <c r="G257" s="8" t="s">
        <v>20</v>
      </c>
      <c r="H257" s="7">
        <v>1750</v>
      </c>
      <c r="I257" s="14">
        <f t="shared" si="30"/>
        <v>21382.4649984955</v>
      </c>
      <c r="J257" s="15">
        <f t="shared" si="31"/>
        <v>1386.70402384278</v>
      </c>
      <c r="K257" s="15">
        <f t="shared" si="32"/>
        <v>19995.7609746527</v>
      </c>
      <c r="L257" s="15">
        <f t="shared" si="33"/>
        <v>0.0648523930211203</v>
      </c>
      <c r="M257" s="15">
        <f t="shared" si="34"/>
        <v>0.0693498999913337</v>
      </c>
      <c r="N257" s="16">
        <f t="shared" si="35"/>
        <v>60.6617647058823</v>
      </c>
      <c r="O257" s="16">
        <f t="shared" si="36"/>
        <v>485346.408344973</v>
      </c>
      <c r="P257" s="16">
        <f t="shared" si="37"/>
        <v>969794.407270658</v>
      </c>
      <c r="Q257" s="16">
        <f t="shared" si="38"/>
        <v>7.21649484536082</v>
      </c>
      <c r="R257" s="16">
        <f t="shared" si="39"/>
        <v>0.500463195813748</v>
      </c>
      <c r="S257" s="16">
        <v>12.3636363636364</v>
      </c>
    </row>
    <row r="258" spans="1:19">
      <c r="A258" s="8">
        <v>16</v>
      </c>
      <c r="B258" s="7">
        <v>165</v>
      </c>
      <c r="C258" s="7">
        <v>2.74</v>
      </c>
      <c r="D258" s="7">
        <v>510</v>
      </c>
      <c r="E258" s="7">
        <v>350</v>
      </c>
      <c r="F258" s="7">
        <v>48.5</v>
      </c>
      <c r="G258" s="8" t="s">
        <v>20</v>
      </c>
      <c r="H258" s="7">
        <v>1785</v>
      </c>
      <c r="I258" s="14">
        <f t="shared" si="30"/>
        <v>21382.4649984955</v>
      </c>
      <c r="J258" s="15">
        <f t="shared" si="31"/>
        <v>1396.72821768185</v>
      </c>
      <c r="K258" s="15">
        <f t="shared" si="32"/>
        <v>19985.7367808137</v>
      </c>
      <c r="L258" s="15">
        <f t="shared" si="33"/>
        <v>0.0653211974288337</v>
      </c>
      <c r="M258" s="15">
        <f t="shared" si="34"/>
        <v>0.0698862510299202</v>
      </c>
      <c r="N258" s="16">
        <f t="shared" si="35"/>
        <v>60.2189781021898</v>
      </c>
      <c r="O258" s="16">
        <f t="shared" si="36"/>
        <v>488854.876188649</v>
      </c>
      <c r="P258" s="16">
        <f t="shared" si="37"/>
        <v>969308.233869463</v>
      </c>
      <c r="Q258" s="16">
        <f t="shared" si="38"/>
        <v>7.21649484536082</v>
      </c>
      <c r="R258" s="16">
        <f t="shared" si="39"/>
        <v>0.504333770319011</v>
      </c>
      <c r="S258" s="16">
        <v>12.3636363636364</v>
      </c>
    </row>
    <row r="259" spans="1:19">
      <c r="A259" s="8">
        <v>17</v>
      </c>
      <c r="B259" s="7">
        <v>165</v>
      </c>
      <c r="C259" s="7">
        <v>2.75</v>
      </c>
      <c r="D259" s="7">
        <v>510</v>
      </c>
      <c r="E259" s="7">
        <v>350</v>
      </c>
      <c r="F259" s="7">
        <v>38.4</v>
      </c>
      <c r="G259" s="8" t="s">
        <v>20</v>
      </c>
      <c r="H259" s="7">
        <v>1560</v>
      </c>
      <c r="I259" s="14">
        <f t="shared" ref="I259:I322" si="40">(PI()*B259^2)/4</f>
        <v>21382.4649984955</v>
      </c>
      <c r="J259" s="15">
        <f t="shared" ref="J259:J322" si="41">(PI()*(B259^2-(B259-2*C259)^2))/4</f>
        <v>1401.7393721236</v>
      </c>
      <c r="K259" s="15">
        <f t="shared" ref="K259:K322" si="42">(PI()*(B259-2*C259)^2)/4</f>
        <v>19980.7256263719</v>
      </c>
      <c r="L259" s="15">
        <f t="shared" ref="L259:L322" si="43">J259/I259</f>
        <v>0.0655555555555556</v>
      </c>
      <c r="M259" s="15">
        <f t="shared" ref="M259:M322" si="44">J259/K259</f>
        <v>0.0701545778834721</v>
      </c>
      <c r="N259" s="16">
        <f t="shared" ref="N259:N322" si="45">B259/C259</f>
        <v>60</v>
      </c>
      <c r="O259" s="16">
        <f t="shared" ref="O259:O322" si="46">J259*E259</f>
        <v>490608.780243259</v>
      </c>
      <c r="P259" s="16">
        <f t="shared" ref="P259:P322" si="47">K259*F259</f>
        <v>767259.864052682</v>
      </c>
      <c r="Q259" s="16">
        <f t="shared" ref="Q259:Q322" si="48">E259/F259</f>
        <v>9.11458333333333</v>
      </c>
      <c r="R259" s="16">
        <f t="shared" ref="R259:R322" si="49">O259/P259</f>
        <v>0.63942974633373</v>
      </c>
      <c r="S259" s="16">
        <v>12.3636363636364</v>
      </c>
    </row>
    <row r="260" spans="1:19">
      <c r="A260" s="8">
        <v>3</v>
      </c>
      <c r="B260" s="7">
        <v>101.7016</v>
      </c>
      <c r="C260" s="7">
        <v>3.0734</v>
      </c>
      <c r="D260" s="7">
        <v>203.2762</v>
      </c>
      <c r="E260" s="7">
        <v>605.0838988928</v>
      </c>
      <c r="F260" s="7">
        <v>34.129048536</v>
      </c>
      <c r="G260" s="8" t="s">
        <v>20</v>
      </c>
      <c r="H260" s="7">
        <v>1112.0554</v>
      </c>
      <c r="I260" s="14">
        <f t="shared" si="40"/>
        <v>8123.54241221075</v>
      </c>
      <c r="J260" s="15">
        <f t="shared" si="41"/>
        <v>952.291848406423</v>
      </c>
      <c r="K260" s="15">
        <f t="shared" si="42"/>
        <v>7171.25056380433</v>
      </c>
      <c r="L260" s="15">
        <f t="shared" si="43"/>
        <v>0.117226180412994</v>
      </c>
      <c r="M260" s="15">
        <f t="shared" si="44"/>
        <v>0.132792996135563</v>
      </c>
      <c r="N260" s="16">
        <f t="shared" si="45"/>
        <v>33.0909090909091</v>
      </c>
      <c r="O260" s="16">
        <f t="shared" si="46"/>
        <v>576216.46451759</v>
      </c>
      <c r="P260" s="16">
        <f t="shared" si="47"/>
        <v>244747.958555895</v>
      </c>
      <c r="Q260" s="16">
        <f t="shared" si="48"/>
        <v>17.7292929292929</v>
      </c>
      <c r="R260" s="16">
        <f t="shared" si="49"/>
        <v>2.35432592744586</v>
      </c>
      <c r="S260" s="16">
        <v>7.99500499500499</v>
      </c>
    </row>
    <row r="261" spans="1:19">
      <c r="A261" s="19">
        <v>4</v>
      </c>
      <c r="B261" s="20">
        <v>101.7016</v>
      </c>
      <c r="C261" s="20">
        <v>3.0734</v>
      </c>
      <c r="D261" s="20">
        <v>203.2508</v>
      </c>
      <c r="E261" s="20">
        <v>605.0838988928</v>
      </c>
      <c r="F261" s="20">
        <v>31.1643029056</v>
      </c>
      <c r="G261" s="5" t="s">
        <v>20</v>
      </c>
      <c r="H261" s="20">
        <v>1067.573184</v>
      </c>
      <c r="I261" s="14">
        <f t="shared" si="40"/>
        <v>8123.54241221075</v>
      </c>
      <c r="J261" s="15">
        <f t="shared" si="41"/>
        <v>952.291848406423</v>
      </c>
      <c r="K261" s="15">
        <f t="shared" si="42"/>
        <v>7171.25056380433</v>
      </c>
      <c r="L261" s="15">
        <f t="shared" si="43"/>
        <v>0.117226180412994</v>
      </c>
      <c r="M261" s="15">
        <f t="shared" si="44"/>
        <v>0.132792996135563</v>
      </c>
      <c r="N261" s="16">
        <f t="shared" si="45"/>
        <v>33.0909090909091</v>
      </c>
      <c r="O261" s="16">
        <f t="shared" si="46"/>
        <v>576216.46451759</v>
      </c>
      <c r="P261" s="16">
        <f t="shared" si="47"/>
        <v>223487.024782353</v>
      </c>
      <c r="Q261" s="16">
        <f t="shared" si="48"/>
        <v>19.4159292035398</v>
      </c>
      <c r="R261" s="16">
        <f t="shared" si="49"/>
        <v>2.57829941169403</v>
      </c>
      <c r="S261" s="16">
        <v>7.99400599400599</v>
      </c>
    </row>
    <row r="262" spans="1:19">
      <c r="A262" s="5">
        <v>8</v>
      </c>
      <c r="B262" s="20">
        <v>120.8278</v>
      </c>
      <c r="C262" s="20">
        <v>4.064</v>
      </c>
      <c r="D262" s="6">
        <v>241.3254</v>
      </c>
      <c r="E262" s="20">
        <v>451.60660184</v>
      </c>
      <c r="F262" s="20">
        <v>34.4048388272</v>
      </c>
      <c r="G262" s="5" t="s">
        <v>20</v>
      </c>
      <c r="H262" s="6">
        <v>1201.019832</v>
      </c>
      <c r="I262" s="14">
        <f t="shared" si="40"/>
        <v>11466.3083731638</v>
      </c>
      <c r="J262" s="15">
        <f t="shared" si="41"/>
        <v>1490.77394010317</v>
      </c>
      <c r="K262" s="15">
        <f t="shared" si="42"/>
        <v>9975.53443306058</v>
      </c>
      <c r="L262" s="15">
        <f t="shared" si="43"/>
        <v>0.130013417709246</v>
      </c>
      <c r="M262" s="15">
        <f t="shared" si="44"/>
        <v>0.149443014818584</v>
      </c>
      <c r="N262" s="16">
        <f t="shared" si="45"/>
        <v>29.73125</v>
      </c>
      <c r="O262" s="16">
        <f t="shared" si="46"/>
        <v>673243.353201619</v>
      </c>
      <c r="P262" s="16">
        <f t="shared" si="47"/>
        <v>343206.654384633</v>
      </c>
      <c r="Q262" s="16">
        <f t="shared" si="48"/>
        <v>13.12625250501</v>
      </c>
      <c r="R262" s="16">
        <f t="shared" si="49"/>
        <v>1.96162674761869</v>
      </c>
      <c r="S262" s="16">
        <v>7.98906874080303</v>
      </c>
    </row>
    <row r="263" spans="1:19">
      <c r="A263" s="5">
        <v>9</v>
      </c>
      <c r="B263" s="20">
        <v>120.8024</v>
      </c>
      <c r="C263" s="20">
        <v>4.0894</v>
      </c>
      <c r="D263" s="20">
        <v>241.3508</v>
      </c>
      <c r="E263" s="20">
        <v>451.60660184</v>
      </c>
      <c r="F263" s="6">
        <v>29.5785087312</v>
      </c>
      <c r="G263" s="5" t="s">
        <v>20</v>
      </c>
      <c r="H263" s="6">
        <v>1201.019832</v>
      </c>
      <c r="I263" s="14">
        <f t="shared" si="40"/>
        <v>11461.4880649151</v>
      </c>
      <c r="J263" s="15">
        <f t="shared" si="41"/>
        <v>1499.43863799573</v>
      </c>
      <c r="K263" s="15">
        <f t="shared" si="42"/>
        <v>9962.04942691937</v>
      </c>
      <c r="L263" s="15">
        <f t="shared" si="43"/>
        <v>0.130824080564694</v>
      </c>
      <c r="M263" s="15">
        <f t="shared" si="44"/>
        <v>0.150515077143059</v>
      </c>
      <c r="N263" s="16">
        <f t="shared" si="45"/>
        <v>29.5403726708075</v>
      </c>
      <c r="O263" s="16">
        <f t="shared" si="46"/>
        <v>677156.387972851</v>
      </c>
      <c r="P263" s="16">
        <f t="shared" si="47"/>
        <v>294662.56595478</v>
      </c>
      <c r="Q263" s="16">
        <f t="shared" si="48"/>
        <v>15.2680652680653</v>
      </c>
      <c r="R263" s="16">
        <f t="shared" si="49"/>
        <v>2.2980740216481</v>
      </c>
      <c r="S263" s="16">
        <v>7.99158957106812</v>
      </c>
    </row>
    <row r="264" spans="1:19">
      <c r="A264" s="5">
        <v>10</v>
      </c>
      <c r="B264" s="20">
        <v>120.8278</v>
      </c>
      <c r="C264" s="20">
        <v>4.0894</v>
      </c>
      <c r="D264" s="20">
        <v>241.3508</v>
      </c>
      <c r="E264" s="20">
        <v>451.60660184</v>
      </c>
      <c r="F264" s="6">
        <v>25.9242873728</v>
      </c>
      <c r="G264" s="5" t="s">
        <v>20</v>
      </c>
      <c r="H264" s="6">
        <v>1112.0554</v>
      </c>
      <c r="I264" s="14">
        <f t="shared" si="40"/>
        <v>11466.3083731638</v>
      </c>
      <c r="J264" s="15">
        <f t="shared" si="41"/>
        <v>1499.76495761227</v>
      </c>
      <c r="K264" s="15">
        <f t="shared" si="42"/>
        <v>9966.54341555148</v>
      </c>
      <c r="L264" s="15">
        <f t="shared" si="43"/>
        <v>0.130797542574591</v>
      </c>
      <c r="M264" s="15">
        <f t="shared" si="44"/>
        <v>0.150479950277655</v>
      </c>
      <c r="N264" s="16">
        <f t="shared" si="45"/>
        <v>29.5465838509317</v>
      </c>
      <c r="O264" s="16">
        <f t="shared" si="46"/>
        <v>677303.75606599</v>
      </c>
      <c r="P264" s="16">
        <f t="shared" si="47"/>
        <v>258375.535618244</v>
      </c>
      <c r="Q264" s="16">
        <f t="shared" si="48"/>
        <v>17.4202127659574</v>
      </c>
      <c r="R264" s="16">
        <f t="shared" si="49"/>
        <v>2.62139275084744</v>
      </c>
      <c r="S264" s="16">
        <v>7.9899096068951</v>
      </c>
    </row>
    <row r="265" spans="1:19">
      <c r="A265" s="5">
        <v>13</v>
      </c>
      <c r="B265" s="20">
        <v>152.6286</v>
      </c>
      <c r="C265" s="20">
        <v>3.175</v>
      </c>
      <c r="D265" s="20">
        <v>304.8</v>
      </c>
      <c r="E265" s="20">
        <v>415.1333358288</v>
      </c>
      <c r="F265" s="6">
        <v>20.8911145584</v>
      </c>
      <c r="G265" s="5" t="s">
        <v>20</v>
      </c>
      <c r="H265" s="6">
        <v>1201.019832</v>
      </c>
      <c r="I265" s="14">
        <f t="shared" si="40"/>
        <v>18296.2346985583</v>
      </c>
      <c r="J265" s="15">
        <f t="shared" si="41"/>
        <v>1490.73340350484</v>
      </c>
      <c r="K265" s="15">
        <f t="shared" si="42"/>
        <v>16805.5012950534</v>
      </c>
      <c r="L265" s="15">
        <f t="shared" si="43"/>
        <v>0.0814776060793703</v>
      </c>
      <c r="M265" s="15">
        <f t="shared" si="44"/>
        <v>0.088705083968166</v>
      </c>
      <c r="N265" s="16">
        <f t="shared" si="45"/>
        <v>48.072</v>
      </c>
      <c r="O265" s="16">
        <f t="shared" si="46"/>
        <v>618853.130628383</v>
      </c>
      <c r="P265" s="16">
        <f t="shared" si="47"/>
        <v>351085.652766301</v>
      </c>
      <c r="Q265" s="16">
        <f t="shared" si="48"/>
        <v>19.8712871287129</v>
      </c>
      <c r="R265" s="16">
        <f t="shared" si="49"/>
        <v>1.76268419330801</v>
      </c>
      <c r="S265" s="16">
        <v>7.98801797304044</v>
      </c>
    </row>
    <row r="266" spans="1:19">
      <c r="A266" s="5">
        <v>14</v>
      </c>
      <c r="B266" s="20">
        <v>152.6032</v>
      </c>
      <c r="C266" s="20">
        <v>3.1496</v>
      </c>
      <c r="D266" s="20">
        <v>304.927</v>
      </c>
      <c r="E266" s="20">
        <v>415.1333358288</v>
      </c>
      <c r="F266" s="6">
        <v>23.097436888</v>
      </c>
      <c r="G266" s="5" t="s">
        <v>20</v>
      </c>
      <c r="H266" s="6">
        <v>1201.019832</v>
      </c>
      <c r="I266" s="14">
        <f t="shared" si="40"/>
        <v>18290.1455947819</v>
      </c>
      <c r="J266" s="15">
        <f t="shared" si="41"/>
        <v>1478.8075362768</v>
      </c>
      <c r="K266" s="15">
        <f t="shared" si="42"/>
        <v>16811.3380585051</v>
      </c>
      <c r="L266" s="15">
        <f t="shared" si="43"/>
        <v>0.0808526935235932</v>
      </c>
      <c r="M266" s="15">
        <f t="shared" si="44"/>
        <v>0.0879648919753089</v>
      </c>
      <c r="N266" s="16">
        <f t="shared" si="45"/>
        <v>48.4516129032258</v>
      </c>
      <c r="O266" s="16">
        <f t="shared" si="46"/>
        <v>613902.305583358</v>
      </c>
      <c r="P266" s="16">
        <f t="shared" si="47"/>
        <v>388298.819809155</v>
      </c>
      <c r="Q266" s="16">
        <f t="shared" si="48"/>
        <v>17.9731343283582</v>
      </c>
      <c r="R266" s="16">
        <f t="shared" si="49"/>
        <v>1.58100481965175</v>
      </c>
      <c r="S266" s="16">
        <v>7.99267643142477</v>
      </c>
    </row>
    <row r="267" spans="1:19">
      <c r="A267" s="5">
        <v>15</v>
      </c>
      <c r="B267" s="20">
        <v>152.5778</v>
      </c>
      <c r="C267" s="20">
        <v>4.9276</v>
      </c>
      <c r="D267" s="20">
        <v>304.9016</v>
      </c>
      <c r="E267" s="20">
        <v>633.4213513136</v>
      </c>
      <c r="F267" s="6">
        <v>41.9890718352</v>
      </c>
      <c r="G267" s="5" t="s">
        <v>20</v>
      </c>
      <c r="H267" s="6">
        <v>2909.1369264</v>
      </c>
      <c r="I267" s="14">
        <f t="shared" si="40"/>
        <v>18284.0575044206</v>
      </c>
      <c r="J267" s="15">
        <f t="shared" si="41"/>
        <v>2285.70068697115</v>
      </c>
      <c r="K267" s="15">
        <f t="shared" si="42"/>
        <v>15998.3568174494</v>
      </c>
      <c r="L267" s="15">
        <f t="shared" si="43"/>
        <v>0.125010582930979</v>
      </c>
      <c r="M267" s="15">
        <f t="shared" si="44"/>
        <v>0.142870965628053</v>
      </c>
      <c r="N267" s="16">
        <f t="shared" si="45"/>
        <v>30.9639175257732</v>
      </c>
      <c r="O267" s="16">
        <f t="shared" si="46"/>
        <v>1447811.61783969</v>
      </c>
      <c r="P267" s="16">
        <f t="shared" si="47"/>
        <v>671756.153653046</v>
      </c>
      <c r="Q267" s="16">
        <f t="shared" si="48"/>
        <v>15.0853858784893</v>
      </c>
      <c r="R267" s="16">
        <f t="shared" si="49"/>
        <v>2.15526364733157</v>
      </c>
      <c r="S267" s="16">
        <v>7.99334110204761</v>
      </c>
    </row>
    <row r="268" spans="1:19">
      <c r="A268" s="5">
        <v>16</v>
      </c>
      <c r="B268" s="20">
        <v>152.5524</v>
      </c>
      <c r="C268" s="20">
        <v>4.9022</v>
      </c>
      <c r="D268" s="20">
        <v>304.8762</v>
      </c>
      <c r="E268" s="20">
        <v>633.4213513136</v>
      </c>
      <c r="F268" s="6">
        <v>43.436970864</v>
      </c>
      <c r="G268" s="5" t="s">
        <v>20</v>
      </c>
      <c r="H268" s="6">
        <v>2913.585148</v>
      </c>
      <c r="I268" s="14">
        <f t="shared" si="40"/>
        <v>18277.9704274742</v>
      </c>
      <c r="J268" s="15">
        <f t="shared" si="41"/>
        <v>2273.91872466717</v>
      </c>
      <c r="K268" s="15">
        <f t="shared" si="42"/>
        <v>16004.051702807</v>
      </c>
      <c r="L268" s="15">
        <f t="shared" si="43"/>
        <v>0.124407615916107</v>
      </c>
      <c r="M268" s="15">
        <f t="shared" si="44"/>
        <v>0.142083940172997</v>
      </c>
      <c r="N268" s="16">
        <f t="shared" si="45"/>
        <v>31.119170984456</v>
      </c>
      <c r="O268" s="16">
        <f t="shared" si="46"/>
        <v>1440348.67135598</v>
      </c>
      <c r="P268" s="16">
        <f t="shared" si="47"/>
        <v>695167.527520778</v>
      </c>
      <c r="Q268" s="16">
        <f t="shared" si="48"/>
        <v>14.5825396825397</v>
      </c>
      <c r="R268" s="16">
        <f t="shared" si="49"/>
        <v>2.07194469582432</v>
      </c>
      <c r="S268" s="16">
        <v>7.99400599400599</v>
      </c>
    </row>
    <row r="269" spans="1:19">
      <c r="A269" s="5">
        <v>19</v>
      </c>
      <c r="B269" s="20">
        <v>76.4286</v>
      </c>
      <c r="C269" s="20">
        <v>1.7018</v>
      </c>
      <c r="D269" s="20">
        <v>152.3492</v>
      </c>
      <c r="E269" s="20">
        <v>363.2847610832</v>
      </c>
      <c r="F269" s="6">
        <v>24.9590213536</v>
      </c>
      <c r="G269" s="5" t="s">
        <v>20</v>
      </c>
      <c r="H269" s="6">
        <v>355.857728</v>
      </c>
      <c r="I269" s="14">
        <f t="shared" si="40"/>
        <v>4587.77055905455</v>
      </c>
      <c r="J269" s="15">
        <f t="shared" si="41"/>
        <v>399.516552139296</v>
      </c>
      <c r="K269" s="15">
        <f t="shared" si="42"/>
        <v>4188.25400691526</v>
      </c>
      <c r="L269" s="15">
        <f t="shared" si="43"/>
        <v>0.08708294083077</v>
      </c>
      <c r="M269" s="15">
        <f t="shared" si="44"/>
        <v>0.0953897618147447</v>
      </c>
      <c r="N269" s="16">
        <f t="shared" si="45"/>
        <v>44.910447761194</v>
      </c>
      <c r="O269" s="16">
        <f t="shared" si="46"/>
        <v>145138.275192708</v>
      </c>
      <c r="P269" s="16">
        <f t="shared" si="47"/>
        <v>104534.721192899</v>
      </c>
      <c r="Q269" s="16">
        <f t="shared" si="48"/>
        <v>14.5552486187845</v>
      </c>
      <c r="R269" s="16">
        <f t="shared" si="49"/>
        <v>1.38842169890025</v>
      </c>
      <c r="S269" s="16">
        <v>7.97341309405118</v>
      </c>
    </row>
    <row r="270" spans="1:19">
      <c r="A270" s="5">
        <v>22</v>
      </c>
      <c r="B270" s="20">
        <v>76.454</v>
      </c>
      <c r="C270" s="20">
        <v>1.6764</v>
      </c>
      <c r="D270" s="20">
        <v>152.3492</v>
      </c>
      <c r="E270" s="20">
        <v>363.2847610832</v>
      </c>
      <c r="F270" s="6">
        <v>40.8859106704</v>
      </c>
      <c r="G270" s="5" t="s">
        <v>20</v>
      </c>
      <c r="H270" s="6">
        <v>434.59125032</v>
      </c>
      <c r="I270" s="14">
        <f t="shared" si="40"/>
        <v>4590.82043137124</v>
      </c>
      <c r="J270" s="15">
        <f t="shared" si="41"/>
        <v>393.821160074241</v>
      </c>
      <c r="K270" s="15">
        <f t="shared" si="42"/>
        <v>4196.999271297</v>
      </c>
      <c r="L270" s="15">
        <f t="shared" si="43"/>
        <v>0.0857844836149712</v>
      </c>
      <c r="M270" s="15">
        <f t="shared" si="44"/>
        <v>0.0938339834289603</v>
      </c>
      <c r="N270" s="16">
        <f t="shared" si="45"/>
        <v>45.6060606060606</v>
      </c>
      <c r="O270" s="16">
        <f t="shared" si="46"/>
        <v>143069.226047079</v>
      </c>
      <c r="P270" s="16">
        <f t="shared" si="47"/>
        <v>171598.137289983</v>
      </c>
      <c r="Q270" s="16">
        <f t="shared" si="48"/>
        <v>8.88532883642496</v>
      </c>
      <c r="R270" s="16">
        <f t="shared" si="49"/>
        <v>0.833745798797963</v>
      </c>
      <c r="S270" s="16">
        <v>7.97076411960133</v>
      </c>
    </row>
    <row r="271" spans="1:19">
      <c r="A271" s="5">
        <v>23</v>
      </c>
      <c r="B271" s="20">
        <v>76.4286</v>
      </c>
      <c r="C271" s="6">
        <v>1.7018</v>
      </c>
      <c r="D271" s="20">
        <v>152.3746</v>
      </c>
      <c r="E271" s="20">
        <v>363.2847610832</v>
      </c>
      <c r="F271" s="6">
        <v>25.9242873728</v>
      </c>
      <c r="G271" s="5" t="s">
        <v>20</v>
      </c>
      <c r="H271" s="6">
        <v>372.31614792</v>
      </c>
      <c r="I271" s="14">
        <f t="shared" si="40"/>
        <v>4587.77055905455</v>
      </c>
      <c r="J271" s="15">
        <f t="shared" si="41"/>
        <v>399.516552139296</v>
      </c>
      <c r="K271" s="15">
        <f t="shared" si="42"/>
        <v>4188.25400691526</v>
      </c>
      <c r="L271" s="15">
        <f t="shared" si="43"/>
        <v>0.08708294083077</v>
      </c>
      <c r="M271" s="15">
        <f t="shared" si="44"/>
        <v>0.0953897618147447</v>
      </c>
      <c r="N271" s="16">
        <f t="shared" si="45"/>
        <v>44.910447761194</v>
      </c>
      <c r="O271" s="16">
        <f t="shared" si="46"/>
        <v>145138.275192708</v>
      </c>
      <c r="P271" s="16">
        <f t="shared" si="47"/>
        <v>108577.500465552</v>
      </c>
      <c r="Q271" s="16">
        <f t="shared" si="48"/>
        <v>14.0132978723404</v>
      </c>
      <c r="R271" s="16">
        <f t="shared" si="49"/>
        <v>1.33672514628162</v>
      </c>
      <c r="S271" s="16">
        <v>7.97474243934862</v>
      </c>
    </row>
    <row r="272" spans="1:19">
      <c r="A272" s="5">
        <v>24</v>
      </c>
      <c r="B272" s="20">
        <v>76.454</v>
      </c>
      <c r="C272" s="6">
        <v>1.7018</v>
      </c>
      <c r="D272" s="20">
        <v>152.4</v>
      </c>
      <c r="E272" s="20">
        <v>363.2847610832</v>
      </c>
      <c r="F272" s="6">
        <v>33.3016776624</v>
      </c>
      <c r="G272" s="5" t="s">
        <v>20</v>
      </c>
      <c r="H272" s="6">
        <v>433.25678384</v>
      </c>
      <c r="I272" s="14">
        <f t="shared" si="40"/>
        <v>4590.82043137124</v>
      </c>
      <c r="J272" s="15">
        <f t="shared" si="41"/>
        <v>399.652349743694</v>
      </c>
      <c r="K272" s="15">
        <f t="shared" si="42"/>
        <v>4191.16808162754</v>
      </c>
      <c r="L272" s="15">
        <f t="shared" si="43"/>
        <v>0.0870546682707696</v>
      </c>
      <c r="M272" s="15">
        <f t="shared" si="44"/>
        <v>0.0953558392219141</v>
      </c>
      <c r="N272" s="16">
        <f t="shared" si="45"/>
        <v>44.9253731343284</v>
      </c>
      <c r="O272" s="16">
        <f t="shared" si="46"/>
        <v>145187.608392978</v>
      </c>
      <c r="P272" s="16">
        <f t="shared" si="47"/>
        <v>139572.9284833</v>
      </c>
      <c r="Q272" s="16">
        <f t="shared" si="48"/>
        <v>10.9089026915114</v>
      </c>
      <c r="R272" s="16">
        <f t="shared" si="49"/>
        <v>1.04022757113927</v>
      </c>
      <c r="S272" s="16">
        <v>7.9734219269103</v>
      </c>
    </row>
    <row r="273" spans="1:19">
      <c r="A273" s="5">
        <v>25</v>
      </c>
      <c r="B273" s="20">
        <v>76.454</v>
      </c>
      <c r="C273" s="6">
        <v>1.7272</v>
      </c>
      <c r="D273" s="20">
        <v>152.4762</v>
      </c>
      <c r="E273" s="20">
        <v>363.2847610832</v>
      </c>
      <c r="F273" s="6">
        <v>33.3016776624</v>
      </c>
      <c r="G273" s="5" t="s">
        <v>20</v>
      </c>
      <c r="H273" s="6">
        <v>434.59125032</v>
      </c>
      <c r="I273" s="14">
        <f t="shared" si="40"/>
        <v>4590.82043137124</v>
      </c>
      <c r="J273" s="15">
        <f t="shared" si="41"/>
        <v>405.479485753317</v>
      </c>
      <c r="K273" s="15">
        <f t="shared" si="42"/>
        <v>4185.34094561792</v>
      </c>
      <c r="L273" s="15">
        <f t="shared" si="43"/>
        <v>0.0883239699341068</v>
      </c>
      <c r="M273" s="15">
        <f t="shared" si="44"/>
        <v>0.0968808732721897</v>
      </c>
      <c r="N273" s="16">
        <f t="shared" si="45"/>
        <v>44.2647058823529</v>
      </c>
      <c r="O273" s="16">
        <f t="shared" si="46"/>
        <v>147304.518106032</v>
      </c>
      <c r="P273" s="16">
        <f t="shared" si="47"/>
        <v>139378.875078212</v>
      </c>
      <c r="Q273" s="16">
        <f t="shared" si="48"/>
        <v>10.9089026915114</v>
      </c>
      <c r="R273" s="16">
        <f t="shared" si="49"/>
        <v>1.05686401919496</v>
      </c>
      <c r="S273" s="16">
        <v>7.97740863787376</v>
      </c>
    </row>
    <row r="274" spans="1:19">
      <c r="A274" s="5" t="s">
        <v>212</v>
      </c>
      <c r="B274" s="20">
        <v>140.1</v>
      </c>
      <c r="C274" s="6">
        <v>9.68</v>
      </c>
      <c r="D274" s="20">
        <v>406</v>
      </c>
      <c r="E274" s="20">
        <v>270</v>
      </c>
      <c r="F274" s="6">
        <v>32.6</v>
      </c>
      <c r="G274" s="5" t="s">
        <v>20</v>
      </c>
      <c r="H274" s="6">
        <v>2949</v>
      </c>
      <c r="I274" s="14">
        <f t="shared" si="40"/>
        <v>15415.8030051467</v>
      </c>
      <c r="J274" s="15">
        <f t="shared" si="41"/>
        <v>3966.15265436983</v>
      </c>
      <c r="K274" s="15">
        <f t="shared" si="42"/>
        <v>11449.6503507769</v>
      </c>
      <c r="L274" s="15">
        <f t="shared" si="43"/>
        <v>0.257278369024674</v>
      </c>
      <c r="M274" s="15">
        <f t="shared" si="44"/>
        <v>0.346399456128432</v>
      </c>
      <c r="N274" s="16">
        <f t="shared" si="45"/>
        <v>14.4731404958678</v>
      </c>
      <c r="O274" s="16">
        <f t="shared" si="46"/>
        <v>1070861.21667985</v>
      </c>
      <c r="P274" s="16">
        <f t="shared" si="47"/>
        <v>373258.601435328</v>
      </c>
      <c r="Q274" s="16">
        <f t="shared" si="48"/>
        <v>8.28220858895705</v>
      </c>
      <c r="R274" s="16">
        <f t="shared" si="49"/>
        <v>2.86895255075695</v>
      </c>
      <c r="S274" s="16">
        <v>11.5917201998572</v>
      </c>
    </row>
    <row r="275" spans="1:19">
      <c r="A275" s="5" t="s">
        <v>213</v>
      </c>
      <c r="B275" s="20">
        <v>140.1</v>
      </c>
      <c r="C275" s="6">
        <v>9.68</v>
      </c>
      <c r="D275" s="20">
        <v>406</v>
      </c>
      <c r="E275" s="20">
        <v>273</v>
      </c>
      <c r="F275" s="6">
        <v>32.6</v>
      </c>
      <c r="G275" s="5" t="s">
        <v>20</v>
      </c>
      <c r="H275" s="6">
        <v>2949</v>
      </c>
      <c r="I275" s="14">
        <f t="shared" si="40"/>
        <v>15415.8030051467</v>
      </c>
      <c r="J275" s="15">
        <f t="shared" si="41"/>
        <v>3966.15265436983</v>
      </c>
      <c r="K275" s="15">
        <f t="shared" si="42"/>
        <v>11449.6503507769</v>
      </c>
      <c r="L275" s="15">
        <f t="shared" si="43"/>
        <v>0.257278369024674</v>
      </c>
      <c r="M275" s="15">
        <f t="shared" si="44"/>
        <v>0.346399456128432</v>
      </c>
      <c r="N275" s="16">
        <f t="shared" si="45"/>
        <v>14.4731404958678</v>
      </c>
      <c r="O275" s="16">
        <f t="shared" si="46"/>
        <v>1082759.67464296</v>
      </c>
      <c r="P275" s="16">
        <f t="shared" si="47"/>
        <v>373258.601435328</v>
      </c>
      <c r="Q275" s="16">
        <f t="shared" si="48"/>
        <v>8.37423312883435</v>
      </c>
      <c r="R275" s="16">
        <f t="shared" si="49"/>
        <v>2.90082980132091</v>
      </c>
      <c r="S275" s="16">
        <v>11.5917201998572</v>
      </c>
    </row>
    <row r="276" spans="1:19">
      <c r="A276" s="5" t="s">
        <v>214</v>
      </c>
      <c r="B276" s="20">
        <v>140.4</v>
      </c>
      <c r="C276" s="6">
        <v>4.93</v>
      </c>
      <c r="D276" s="20">
        <v>406</v>
      </c>
      <c r="E276" s="20">
        <v>293</v>
      </c>
      <c r="F276" s="6">
        <v>33.2</v>
      </c>
      <c r="G276" s="5" t="s">
        <v>20</v>
      </c>
      <c r="H276" s="6">
        <v>1824</v>
      </c>
      <c r="I276" s="14">
        <f t="shared" si="40"/>
        <v>15481.8942605966</v>
      </c>
      <c r="J276" s="15">
        <f t="shared" si="41"/>
        <v>2098.16637493432</v>
      </c>
      <c r="K276" s="15">
        <f t="shared" si="42"/>
        <v>13383.7278856623</v>
      </c>
      <c r="L276" s="15">
        <f t="shared" si="43"/>
        <v>0.135523879676301</v>
      </c>
      <c r="M276" s="15">
        <f t="shared" si="44"/>
        <v>0.156769951754775</v>
      </c>
      <c r="N276" s="16">
        <f t="shared" si="45"/>
        <v>28.4787018255578</v>
      </c>
      <c r="O276" s="16">
        <f t="shared" si="46"/>
        <v>614762.747855754</v>
      </c>
      <c r="P276" s="16">
        <f t="shared" si="47"/>
        <v>444339.765803989</v>
      </c>
      <c r="Q276" s="16">
        <f t="shared" si="48"/>
        <v>8.82530120481928</v>
      </c>
      <c r="R276" s="16">
        <f t="shared" si="49"/>
        <v>1.38354204410087</v>
      </c>
      <c r="S276" s="16">
        <v>11.5669515669516</v>
      </c>
    </row>
    <row r="277" spans="1:19">
      <c r="A277" s="5" t="s">
        <v>215</v>
      </c>
      <c r="B277" s="20">
        <v>140.4</v>
      </c>
      <c r="C277" s="6">
        <v>4.93</v>
      </c>
      <c r="D277" s="20">
        <v>406</v>
      </c>
      <c r="E277" s="20">
        <v>302</v>
      </c>
      <c r="F277" s="6">
        <v>33.2</v>
      </c>
      <c r="G277" s="5" t="s">
        <v>20</v>
      </c>
      <c r="H277" s="6">
        <v>1824</v>
      </c>
      <c r="I277" s="14">
        <f t="shared" si="40"/>
        <v>15481.8942605966</v>
      </c>
      <c r="J277" s="15">
        <f t="shared" si="41"/>
        <v>2098.16637493432</v>
      </c>
      <c r="K277" s="15">
        <f t="shared" si="42"/>
        <v>13383.7278856623</v>
      </c>
      <c r="L277" s="15">
        <f t="shared" si="43"/>
        <v>0.135523879676301</v>
      </c>
      <c r="M277" s="15">
        <f t="shared" si="44"/>
        <v>0.156769951754775</v>
      </c>
      <c r="N277" s="16">
        <f t="shared" si="45"/>
        <v>28.4787018255578</v>
      </c>
      <c r="O277" s="16">
        <f t="shared" si="46"/>
        <v>633646.245230163</v>
      </c>
      <c r="P277" s="16">
        <f t="shared" si="47"/>
        <v>444339.765803989</v>
      </c>
      <c r="Q277" s="16">
        <f t="shared" si="48"/>
        <v>9.09638554216867</v>
      </c>
      <c r="R277" s="16">
        <f t="shared" si="49"/>
        <v>1.42603992258861</v>
      </c>
      <c r="S277" s="16">
        <v>11.5669515669516</v>
      </c>
    </row>
    <row r="278" spans="1:19">
      <c r="A278" s="5" t="s">
        <v>216</v>
      </c>
      <c r="B278" s="20">
        <v>166</v>
      </c>
      <c r="C278" s="6">
        <v>5</v>
      </c>
      <c r="D278" s="20">
        <v>660</v>
      </c>
      <c r="E278" s="20">
        <v>274.5862</v>
      </c>
      <c r="F278" s="6">
        <v>31.38128</v>
      </c>
      <c r="G278" s="5" t="s">
        <v>217</v>
      </c>
      <c r="H278" s="6">
        <v>1745.58370509772</v>
      </c>
      <c r="I278" s="14">
        <f t="shared" si="40"/>
        <v>21642.4317905801</v>
      </c>
      <c r="J278" s="15">
        <f t="shared" si="41"/>
        <v>2528.98208613978</v>
      </c>
      <c r="K278" s="15">
        <f t="shared" si="42"/>
        <v>19113.4497044403</v>
      </c>
      <c r="L278" s="15">
        <f t="shared" si="43"/>
        <v>0.116852953984613</v>
      </c>
      <c r="M278" s="15">
        <f t="shared" si="44"/>
        <v>0.132314266929652</v>
      </c>
      <c r="N278" s="16">
        <f t="shared" si="45"/>
        <v>33.2</v>
      </c>
      <c r="O278" s="16">
        <f t="shared" si="46"/>
        <v>694423.580901196</v>
      </c>
      <c r="P278" s="16">
        <f t="shared" si="47"/>
        <v>599804.516940958</v>
      </c>
      <c r="Q278" s="16">
        <f t="shared" si="48"/>
        <v>8.75</v>
      </c>
      <c r="R278" s="16">
        <f t="shared" si="49"/>
        <v>1.15774983563445</v>
      </c>
      <c r="S278" s="16">
        <v>15.9036144578313</v>
      </c>
    </row>
    <row r="279" spans="1:19">
      <c r="A279" s="5" t="s">
        <v>218</v>
      </c>
      <c r="B279" s="20">
        <v>166</v>
      </c>
      <c r="C279" s="6">
        <v>5</v>
      </c>
      <c r="D279" s="20">
        <v>660</v>
      </c>
      <c r="E279" s="20">
        <v>274.5862</v>
      </c>
      <c r="F279" s="6">
        <v>31.38128</v>
      </c>
      <c r="G279" s="5" t="s">
        <v>217</v>
      </c>
      <c r="H279" s="6">
        <v>1696.55045495453</v>
      </c>
      <c r="I279" s="14">
        <f t="shared" si="40"/>
        <v>21642.4317905801</v>
      </c>
      <c r="J279" s="15">
        <f t="shared" si="41"/>
        <v>2528.98208613978</v>
      </c>
      <c r="K279" s="15">
        <f t="shared" si="42"/>
        <v>19113.4497044403</v>
      </c>
      <c r="L279" s="15">
        <f t="shared" si="43"/>
        <v>0.116852953984613</v>
      </c>
      <c r="M279" s="15">
        <f t="shared" si="44"/>
        <v>0.132314266929652</v>
      </c>
      <c r="N279" s="16">
        <f t="shared" si="45"/>
        <v>33.2</v>
      </c>
      <c r="O279" s="16">
        <f t="shared" si="46"/>
        <v>694423.580901196</v>
      </c>
      <c r="P279" s="16">
        <f t="shared" si="47"/>
        <v>599804.516940958</v>
      </c>
      <c r="Q279" s="16">
        <f t="shared" si="48"/>
        <v>8.75</v>
      </c>
      <c r="R279" s="16">
        <f t="shared" si="49"/>
        <v>1.15774983563445</v>
      </c>
      <c r="S279" s="16">
        <v>15.9036144578313</v>
      </c>
    </row>
    <row r="280" spans="1:19">
      <c r="A280" s="5" t="s">
        <v>219</v>
      </c>
      <c r="B280" s="20">
        <v>166</v>
      </c>
      <c r="C280" s="6">
        <v>5</v>
      </c>
      <c r="D280" s="20">
        <v>660</v>
      </c>
      <c r="E280" s="20">
        <v>274.5862</v>
      </c>
      <c r="F280" s="6">
        <v>34.715541</v>
      </c>
      <c r="G280" s="5" t="s">
        <v>217</v>
      </c>
      <c r="H280" s="6">
        <v>1863.26350544139</v>
      </c>
      <c r="I280" s="14">
        <f t="shared" si="40"/>
        <v>21642.4317905801</v>
      </c>
      <c r="J280" s="15">
        <f t="shared" si="41"/>
        <v>2528.98208613978</v>
      </c>
      <c r="K280" s="15">
        <f t="shared" si="42"/>
        <v>19113.4497044403</v>
      </c>
      <c r="L280" s="15">
        <f t="shared" si="43"/>
        <v>0.116852953984613</v>
      </c>
      <c r="M280" s="15">
        <f t="shared" si="44"/>
        <v>0.132314266929652</v>
      </c>
      <c r="N280" s="16">
        <f t="shared" si="45"/>
        <v>33.2</v>
      </c>
      <c r="O280" s="16">
        <f t="shared" si="46"/>
        <v>694423.580901196</v>
      </c>
      <c r="P280" s="16">
        <f t="shared" si="47"/>
        <v>663533.746865935</v>
      </c>
      <c r="Q280" s="16">
        <f t="shared" si="48"/>
        <v>7.90960451977401</v>
      </c>
      <c r="R280" s="16">
        <f t="shared" si="49"/>
        <v>1.04655352373736</v>
      </c>
      <c r="S280" s="16">
        <v>15.9036144578313</v>
      </c>
    </row>
    <row r="281" spans="1:19">
      <c r="A281" s="5" t="s">
        <v>220</v>
      </c>
      <c r="B281" s="20">
        <v>166</v>
      </c>
      <c r="C281" s="6">
        <v>5</v>
      </c>
      <c r="D281" s="20">
        <v>660</v>
      </c>
      <c r="E281" s="20">
        <v>274.5862</v>
      </c>
      <c r="F281" s="6">
        <v>34.715541</v>
      </c>
      <c r="G281" s="5" t="s">
        <v>217</v>
      </c>
      <c r="H281" s="6">
        <v>1873.07015547003</v>
      </c>
      <c r="I281" s="14">
        <f t="shared" si="40"/>
        <v>21642.4317905801</v>
      </c>
      <c r="J281" s="15">
        <f t="shared" si="41"/>
        <v>2528.98208613978</v>
      </c>
      <c r="K281" s="15">
        <f t="shared" si="42"/>
        <v>19113.4497044403</v>
      </c>
      <c r="L281" s="15">
        <f t="shared" si="43"/>
        <v>0.116852953984613</v>
      </c>
      <c r="M281" s="15">
        <f t="shared" si="44"/>
        <v>0.132314266929652</v>
      </c>
      <c r="N281" s="16">
        <f t="shared" si="45"/>
        <v>33.2</v>
      </c>
      <c r="O281" s="16">
        <f t="shared" si="46"/>
        <v>694423.580901196</v>
      </c>
      <c r="P281" s="16">
        <f t="shared" si="47"/>
        <v>663533.746865935</v>
      </c>
      <c r="Q281" s="16">
        <f t="shared" si="48"/>
        <v>7.90960451977401</v>
      </c>
      <c r="R281" s="16">
        <f t="shared" si="49"/>
        <v>1.04655352373736</v>
      </c>
      <c r="S281" s="16">
        <v>15.9036144578313</v>
      </c>
    </row>
    <row r="282" spans="1:19">
      <c r="A282" s="5" t="s">
        <v>221</v>
      </c>
      <c r="B282" s="20">
        <v>166</v>
      </c>
      <c r="C282" s="6">
        <v>5</v>
      </c>
      <c r="D282" s="20">
        <v>660</v>
      </c>
      <c r="E282" s="20">
        <v>274.5862</v>
      </c>
      <c r="F282" s="6">
        <v>34.715541</v>
      </c>
      <c r="G282" s="5" t="s">
        <v>217</v>
      </c>
      <c r="H282" s="6">
        <v>1696.55045495453</v>
      </c>
      <c r="I282" s="14">
        <f t="shared" si="40"/>
        <v>21642.4317905801</v>
      </c>
      <c r="J282" s="15">
        <f t="shared" si="41"/>
        <v>2528.98208613978</v>
      </c>
      <c r="K282" s="15">
        <f t="shared" si="42"/>
        <v>19113.4497044403</v>
      </c>
      <c r="L282" s="15">
        <f t="shared" si="43"/>
        <v>0.116852953984613</v>
      </c>
      <c r="M282" s="15">
        <f t="shared" si="44"/>
        <v>0.132314266929652</v>
      </c>
      <c r="N282" s="16">
        <f t="shared" si="45"/>
        <v>33.2</v>
      </c>
      <c r="O282" s="16">
        <f t="shared" si="46"/>
        <v>694423.580901196</v>
      </c>
      <c r="P282" s="16">
        <f t="shared" si="47"/>
        <v>663533.746865935</v>
      </c>
      <c r="Q282" s="16">
        <f t="shared" si="48"/>
        <v>7.90960451977401</v>
      </c>
      <c r="R282" s="16">
        <f t="shared" si="49"/>
        <v>1.04655352373736</v>
      </c>
      <c r="S282" s="16">
        <v>15.9036144578313</v>
      </c>
    </row>
    <row r="283" spans="1:19">
      <c r="A283" s="5" t="s">
        <v>222</v>
      </c>
      <c r="B283" s="20">
        <v>166</v>
      </c>
      <c r="C283" s="6">
        <v>5</v>
      </c>
      <c r="D283" s="20">
        <v>660</v>
      </c>
      <c r="E283" s="20">
        <v>274.5862</v>
      </c>
      <c r="F283" s="6">
        <v>34.715541</v>
      </c>
      <c r="G283" s="5" t="s">
        <v>217</v>
      </c>
      <c r="H283" s="6">
        <v>1735.77705506909</v>
      </c>
      <c r="I283" s="14">
        <f t="shared" si="40"/>
        <v>21642.4317905801</v>
      </c>
      <c r="J283" s="15">
        <f t="shared" si="41"/>
        <v>2528.98208613978</v>
      </c>
      <c r="K283" s="15">
        <f t="shared" si="42"/>
        <v>19113.4497044403</v>
      </c>
      <c r="L283" s="15">
        <f t="shared" si="43"/>
        <v>0.116852953984613</v>
      </c>
      <c r="M283" s="15">
        <f t="shared" si="44"/>
        <v>0.132314266929652</v>
      </c>
      <c r="N283" s="16">
        <f t="shared" si="45"/>
        <v>33.2</v>
      </c>
      <c r="O283" s="16">
        <f t="shared" si="46"/>
        <v>694423.580901196</v>
      </c>
      <c r="P283" s="16">
        <f t="shared" si="47"/>
        <v>663533.746865935</v>
      </c>
      <c r="Q283" s="16">
        <f t="shared" si="48"/>
        <v>7.90960451977401</v>
      </c>
      <c r="R283" s="16">
        <f t="shared" si="49"/>
        <v>1.04655352373736</v>
      </c>
      <c r="S283" s="16">
        <v>15.9036144578313</v>
      </c>
    </row>
    <row r="284" spans="1:19">
      <c r="A284" s="5" t="s">
        <v>223</v>
      </c>
      <c r="B284" s="20">
        <v>166</v>
      </c>
      <c r="C284" s="6">
        <v>5</v>
      </c>
      <c r="D284" s="20">
        <v>660</v>
      </c>
      <c r="E284" s="20">
        <v>274.5862</v>
      </c>
      <c r="F284" s="6">
        <v>34.715541</v>
      </c>
      <c r="G284" s="5" t="s">
        <v>217</v>
      </c>
      <c r="H284" s="6">
        <v>2029.97655592825</v>
      </c>
      <c r="I284" s="14">
        <f t="shared" si="40"/>
        <v>21642.4317905801</v>
      </c>
      <c r="J284" s="15">
        <f t="shared" si="41"/>
        <v>2528.98208613978</v>
      </c>
      <c r="K284" s="15">
        <f t="shared" si="42"/>
        <v>19113.4497044403</v>
      </c>
      <c r="L284" s="15">
        <f t="shared" si="43"/>
        <v>0.116852953984613</v>
      </c>
      <c r="M284" s="15">
        <f t="shared" si="44"/>
        <v>0.132314266929652</v>
      </c>
      <c r="N284" s="16">
        <f t="shared" si="45"/>
        <v>33.2</v>
      </c>
      <c r="O284" s="16">
        <f t="shared" si="46"/>
        <v>694423.580901196</v>
      </c>
      <c r="P284" s="16">
        <f t="shared" si="47"/>
        <v>663533.746865935</v>
      </c>
      <c r="Q284" s="16">
        <f t="shared" si="48"/>
        <v>7.90960451977401</v>
      </c>
      <c r="R284" s="16">
        <f t="shared" si="49"/>
        <v>1.04655352373736</v>
      </c>
      <c r="S284" s="16">
        <v>15.9036144578313</v>
      </c>
    </row>
    <row r="285" spans="1:19">
      <c r="A285" s="5" t="s">
        <v>224</v>
      </c>
      <c r="B285" s="20">
        <v>166</v>
      </c>
      <c r="C285" s="6">
        <v>5</v>
      </c>
      <c r="D285" s="20">
        <v>660</v>
      </c>
      <c r="E285" s="20">
        <v>274.5862</v>
      </c>
      <c r="F285" s="6">
        <v>34.715541</v>
      </c>
      <c r="G285" s="5" t="s">
        <v>217</v>
      </c>
      <c r="H285" s="6">
        <v>2108.42975615736</v>
      </c>
      <c r="I285" s="14">
        <f t="shared" si="40"/>
        <v>21642.4317905801</v>
      </c>
      <c r="J285" s="15">
        <f t="shared" si="41"/>
        <v>2528.98208613978</v>
      </c>
      <c r="K285" s="15">
        <f t="shared" si="42"/>
        <v>19113.4497044403</v>
      </c>
      <c r="L285" s="15">
        <f t="shared" si="43"/>
        <v>0.116852953984613</v>
      </c>
      <c r="M285" s="15">
        <f t="shared" si="44"/>
        <v>0.132314266929652</v>
      </c>
      <c r="N285" s="16">
        <f t="shared" si="45"/>
        <v>33.2</v>
      </c>
      <c r="O285" s="16">
        <f t="shared" si="46"/>
        <v>694423.580901196</v>
      </c>
      <c r="P285" s="16">
        <f t="shared" si="47"/>
        <v>663533.746865935</v>
      </c>
      <c r="Q285" s="16">
        <f t="shared" si="48"/>
        <v>7.90960451977401</v>
      </c>
      <c r="R285" s="16">
        <f t="shared" si="49"/>
        <v>1.04655352373736</v>
      </c>
      <c r="S285" s="16">
        <v>15.9036144578313</v>
      </c>
    </row>
    <row r="286" spans="1:19">
      <c r="A286" s="5" t="s">
        <v>225</v>
      </c>
      <c r="B286" s="20">
        <v>166</v>
      </c>
      <c r="C286" s="6">
        <v>5</v>
      </c>
      <c r="D286" s="20">
        <v>350</v>
      </c>
      <c r="E286" s="20">
        <v>274.5862</v>
      </c>
      <c r="F286" s="6">
        <v>34.715541</v>
      </c>
      <c r="G286" s="5" t="s">
        <v>217</v>
      </c>
      <c r="H286" s="6">
        <v>1784.81030521228</v>
      </c>
      <c r="I286" s="14">
        <f t="shared" si="40"/>
        <v>21642.4317905801</v>
      </c>
      <c r="J286" s="15">
        <f t="shared" si="41"/>
        <v>2528.98208613978</v>
      </c>
      <c r="K286" s="15">
        <f t="shared" si="42"/>
        <v>19113.4497044403</v>
      </c>
      <c r="L286" s="15">
        <f t="shared" si="43"/>
        <v>0.116852953984613</v>
      </c>
      <c r="M286" s="15">
        <f t="shared" si="44"/>
        <v>0.132314266929652</v>
      </c>
      <c r="N286" s="16">
        <f t="shared" si="45"/>
        <v>33.2</v>
      </c>
      <c r="O286" s="16">
        <f t="shared" si="46"/>
        <v>694423.580901196</v>
      </c>
      <c r="P286" s="16">
        <f t="shared" si="47"/>
        <v>663533.746865935</v>
      </c>
      <c r="Q286" s="16">
        <f t="shared" si="48"/>
        <v>7.90960451977401</v>
      </c>
      <c r="R286" s="16">
        <f t="shared" si="49"/>
        <v>1.04655352373736</v>
      </c>
      <c r="S286" s="16">
        <v>8.43373493975904</v>
      </c>
    </row>
    <row r="287" spans="1:19">
      <c r="A287" s="5" t="s">
        <v>226</v>
      </c>
      <c r="B287" s="6">
        <v>166</v>
      </c>
      <c r="C287" s="6">
        <v>5</v>
      </c>
      <c r="D287" s="6">
        <v>350</v>
      </c>
      <c r="E287" s="6">
        <v>274.5862</v>
      </c>
      <c r="F287" s="6">
        <v>34.715541</v>
      </c>
      <c r="G287" s="5" t="s">
        <v>217</v>
      </c>
      <c r="H287" s="6">
        <v>2039.78320595689</v>
      </c>
      <c r="I287" s="14">
        <f t="shared" si="40"/>
        <v>21642.4317905801</v>
      </c>
      <c r="J287" s="15">
        <f t="shared" si="41"/>
        <v>2528.98208613978</v>
      </c>
      <c r="K287" s="15">
        <f t="shared" si="42"/>
        <v>19113.4497044403</v>
      </c>
      <c r="L287" s="15">
        <f t="shared" si="43"/>
        <v>0.116852953984613</v>
      </c>
      <c r="M287" s="15">
        <f t="shared" si="44"/>
        <v>0.132314266929652</v>
      </c>
      <c r="N287" s="16">
        <f t="shared" si="45"/>
        <v>33.2</v>
      </c>
      <c r="O287" s="16">
        <f t="shared" si="46"/>
        <v>694423.580901196</v>
      </c>
      <c r="P287" s="16">
        <f t="shared" si="47"/>
        <v>663533.746865935</v>
      </c>
      <c r="Q287" s="16">
        <f t="shared" si="48"/>
        <v>7.90960451977401</v>
      </c>
      <c r="R287" s="16">
        <f t="shared" si="49"/>
        <v>1.04655352373736</v>
      </c>
      <c r="S287" s="16">
        <v>8.43373493975904</v>
      </c>
    </row>
    <row r="288" spans="1:19">
      <c r="A288" s="5" t="s">
        <v>227</v>
      </c>
      <c r="B288" s="6">
        <v>166</v>
      </c>
      <c r="C288" s="6">
        <v>5</v>
      </c>
      <c r="D288" s="6">
        <v>500</v>
      </c>
      <c r="E288" s="6">
        <v>274.5862</v>
      </c>
      <c r="F288" s="6">
        <v>34.715541</v>
      </c>
      <c r="G288" s="5" t="s">
        <v>217</v>
      </c>
      <c r="H288" s="6">
        <v>2000.55660584234</v>
      </c>
      <c r="I288" s="14">
        <f t="shared" si="40"/>
        <v>21642.4317905801</v>
      </c>
      <c r="J288" s="15">
        <f t="shared" si="41"/>
        <v>2528.98208613978</v>
      </c>
      <c r="K288" s="15">
        <f t="shared" si="42"/>
        <v>19113.4497044403</v>
      </c>
      <c r="L288" s="15">
        <f t="shared" si="43"/>
        <v>0.116852953984613</v>
      </c>
      <c r="M288" s="15">
        <f t="shared" si="44"/>
        <v>0.132314266929652</v>
      </c>
      <c r="N288" s="16">
        <f t="shared" si="45"/>
        <v>33.2</v>
      </c>
      <c r="O288" s="16">
        <f t="shared" si="46"/>
        <v>694423.580901196</v>
      </c>
      <c r="P288" s="16">
        <f t="shared" si="47"/>
        <v>663533.746865935</v>
      </c>
      <c r="Q288" s="16">
        <f t="shared" si="48"/>
        <v>7.90960451977401</v>
      </c>
      <c r="R288" s="16">
        <f t="shared" si="49"/>
        <v>1.04655352373736</v>
      </c>
      <c r="S288" s="16">
        <v>12.0481927710843</v>
      </c>
    </row>
    <row r="289" spans="1:19">
      <c r="A289" s="5" t="s">
        <v>228</v>
      </c>
      <c r="B289" s="6">
        <v>166</v>
      </c>
      <c r="C289" s="6">
        <v>5</v>
      </c>
      <c r="D289" s="6">
        <v>500</v>
      </c>
      <c r="E289" s="6">
        <v>274.5862</v>
      </c>
      <c r="F289" s="6">
        <v>34.715541</v>
      </c>
      <c r="G289" s="5" t="s">
        <v>217</v>
      </c>
      <c r="H289" s="6">
        <v>2044.68653097121</v>
      </c>
      <c r="I289" s="14">
        <f t="shared" si="40"/>
        <v>21642.4317905801</v>
      </c>
      <c r="J289" s="15">
        <f t="shared" si="41"/>
        <v>2528.98208613978</v>
      </c>
      <c r="K289" s="15">
        <f t="shared" si="42"/>
        <v>19113.4497044403</v>
      </c>
      <c r="L289" s="15">
        <f t="shared" si="43"/>
        <v>0.116852953984613</v>
      </c>
      <c r="M289" s="15">
        <f t="shared" si="44"/>
        <v>0.132314266929652</v>
      </c>
      <c r="N289" s="16">
        <f t="shared" si="45"/>
        <v>33.2</v>
      </c>
      <c r="O289" s="16">
        <f t="shared" si="46"/>
        <v>694423.580901196</v>
      </c>
      <c r="P289" s="16">
        <f t="shared" si="47"/>
        <v>663533.746865935</v>
      </c>
      <c r="Q289" s="16">
        <f t="shared" si="48"/>
        <v>7.90960451977401</v>
      </c>
      <c r="R289" s="16">
        <f t="shared" si="49"/>
        <v>1.04655352373736</v>
      </c>
      <c r="S289" s="16">
        <v>12.0481927710843</v>
      </c>
    </row>
    <row r="290" spans="1:19">
      <c r="A290" s="5" t="s">
        <v>229</v>
      </c>
      <c r="B290" s="6">
        <v>166</v>
      </c>
      <c r="C290" s="6">
        <v>5</v>
      </c>
      <c r="D290" s="6">
        <v>660</v>
      </c>
      <c r="E290" s="6">
        <v>274.5862</v>
      </c>
      <c r="F290" s="6">
        <v>34.715541</v>
      </c>
      <c r="G290" s="5" t="s">
        <v>217</v>
      </c>
      <c r="H290" s="6">
        <v>1976.03998077074</v>
      </c>
      <c r="I290" s="14">
        <f t="shared" si="40"/>
        <v>21642.4317905801</v>
      </c>
      <c r="J290" s="15">
        <f t="shared" si="41"/>
        <v>2528.98208613978</v>
      </c>
      <c r="K290" s="15">
        <f t="shared" si="42"/>
        <v>19113.4497044403</v>
      </c>
      <c r="L290" s="15">
        <f t="shared" si="43"/>
        <v>0.116852953984613</v>
      </c>
      <c r="M290" s="15">
        <f t="shared" si="44"/>
        <v>0.132314266929652</v>
      </c>
      <c r="N290" s="16">
        <f t="shared" si="45"/>
        <v>33.2</v>
      </c>
      <c r="O290" s="16">
        <f t="shared" si="46"/>
        <v>694423.580901196</v>
      </c>
      <c r="P290" s="16">
        <f t="shared" si="47"/>
        <v>663533.746865935</v>
      </c>
      <c r="Q290" s="16">
        <f t="shared" si="48"/>
        <v>7.90960451977401</v>
      </c>
      <c r="R290" s="16">
        <f t="shared" si="49"/>
        <v>1.04655352373736</v>
      </c>
      <c r="S290" s="16">
        <v>15.9036144578313</v>
      </c>
    </row>
    <row r="291" spans="1:19">
      <c r="A291" s="5" t="s">
        <v>230</v>
      </c>
      <c r="B291" s="6">
        <v>320</v>
      </c>
      <c r="C291" s="6">
        <v>7</v>
      </c>
      <c r="D291" s="6">
        <v>260</v>
      </c>
      <c r="E291" s="6">
        <v>250.069575</v>
      </c>
      <c r="F291" s="6">
        <v>52.95591</v>
      </c>
      <c r="G291" s="5" t="s">
        <v>217</v>
      </c>
      <c r="H291" s="6">
        <v>7913.96657311159</v>
      </c>
      <c r="I291" s="14">
        <f t="shared" si="40"/>
        <v>80424.7719318987</v>
      </c>
      <c r="J291" s="15">
        <f t="shared" si="41"/>
        <v>6883.22950401524</v>
      </c>
      <c r="K291" s="15">
        <f t="shared" si="42"/>
        <v>73541.5424278835</v>
      </c>
      <c r="L291" s="15">
        <f t="shared" si="43"/>
        <v>0.0855859375</v>
      </c>
      <c r="M291" s="15">
        <f t="shared" si="44"/>
        <v>0.09359647998633</v>
      </c>
      <c r="N291" s="16">
        <f t="shared" si="45"/>
        <v>45.7142857142857</v>
      </c>
      <c r="O291" s="16">
        <f t="shared" si="46"/>
        <v>1721286.27669655</v>
      </c>
      <c r="P291" s="16">
        <f t="shared" si="47"/>
        <v>3894459.30207218</v>
      </c>
      <c r="Q291" s="16">
        <f t="shared" si="48"/>
        <v>4.72222222222222</v>
      </c>
      <c r="R291" s="16">
        <f t="shared" si="49"/>
        <v>0.441983377713225</v>
      </c>
      <c r="S291" s="16">
        <v>3.25</v>
      </c>
    </row>
    <row r="292" spans="1:19">
      <c r="A292" s="5" t="s">
        <v>231</v>
      </c>
      <c r="B292" s="6">
        <v>320</v>
      </c>
      <c r="C292" s="6">
        <v>7</v>
      </c>
      <c r="D292" s="6">
        <v>440</v>
      </c>
      <c r="E292" s="6">
        <v>250.069575</v>
      </c>
      <c r="F292" s="6">
        <v>52.95591</v>
      </c>
      <c r="G292" s="5" t="s">
        <v>217</v>
      </c>
      <c r="H292" s="6">
        <v>5903.60331724062</v>
      </c>
      <c r="I292" s="14">
        <f t="shared" si="40"/>
        <v>80424.7719318987</v>
      </c>
      <c r="J292" s="15">
        <f t="shared" si="41"/>
        <v>6883.22950401524</v>
      </c>
      <c r="K292" s="15">
        <f t="shared" si="42"/>
        <v>73541.5424278835</v>
      </c>
      <c r="L292" s="15">
        <f t="shared" si="43"/>
        <v>0.0855859375</v>
      </c>
      <c r="M292" s="15">
        <f t="shared" si="44"/>
        <v>0.09359647998633</v>
      </c>
      <c r="N292" s="16">
        <f t="shared" si="45"/>
        <v>45.7142857142857</v>
      </c>
      <c r="O292" s="16">
        <f t="shared" si="46"/>
        <v>1721286.27669655</v>
      </c>
      <c r="P292" s="16">
        <f t="shared" si="47"/>
        <v>3894459.30207218</v>
      </c>
      <c r="Q292" s="16">
        <f t="shared" si="48"/>
        <v>4.72222222222222</v>
      </c>
      <c r="R292" s="16">
        <f t="shared" si="49"/>
        <v>0.441983377713225</v>
      </c>
      <c r="S292" s="16">
        <v>5.5</v>
      </c>
    </row>
    <row r="293" spans="1:19">
      <c r="A293" s="5" t="s">
        <v>232</v>
      </c>
      <c r="B293" s="6">
        <v>320</v>
      </c>
      <c r="C293" s="6">
        <v>7</v>
      </c>
      <c r="D293" s="6">
        <v>520</v>
      </c>
      <c r="E293" s="6">
        <v>250.069575</v>
      </c>
      <c r="F293" s="6">
        <v>52.95591</v>
      </c>
      <c r="G293" s="5" t="s">
        <v>217</v>
      </c>
      <c r="H293" s="6">
        <v>5893.79666721198</v>
      </c>
      <c r="I293" s="14">
        <f t="shared" si="40"/>
        <v>80424.7719318987</v>
      </c>
      <c r="J293" s="15">
        <f t="shared" si="41"/>
        <v>6883.22950401524</v>
      </c>
      <c r="K293" s="15">
        <f t="shared" si="42"/>
        <v>73541.5424278835</v>
      </c>
      <c r="L293" s="15">
        <f t="shared" si="43"/>
        <v>0.0855859375</v>
      </c>
      <c r="M293" s="15">
        <f t="shared" si="44"/>
        <v>0.09359647998633</v>
      </c>
      <c r="N293" s="16">
        <f t="shared" si="45"/>
        <v>45.7142857142857</v>
      </c>
      <c r="O293" s="16">
        <f t="shared" si="46"/>
        <v>1721286.27669655</v>
      </c>
      <c r="P293" s="16">
        <f t="shared" si="47"/>
        <v>3894459.30207218</v>
      </c>
      <c r="Q293" s="16">
        <f t="shared" si="48"/>
        <v>4.72222222222222</v>
      </c>
      <c r="R293" s="16">
        <f t="shared" si="49"/>
        <v>0.441983377713225</v>
      </c>
      <c r="S293" s="16">
        <v>6.5</v>
      </c>
    </row>
    <row r="294" spans="1:19">
      <c r="A294" s="5" t="s">
        <v>233</v>
      </c>
      <c r="B294" s="6">
        <v>320</v>
      </c>
      <c r="C294" s="6">
        <v>7</v>
      </c>
      <c r="D294" s="6">
        <v>520</v>
      </c>
      <c r="E294" s="6">
        <v>250.069575</v>
      </c>
      <c r="F294" s="6">
        <v>52.95591</v>
      </c>
      <c r="G294" s="5" t="s">
        <v>217</v>
      </c>
      <c r="H294" s="6">
        <v>6384.12916864392</v>
      </c>
      <c r="I294" s="14">
        <f t="shared" si="40"/>
        <v>80424.7719318987</v>
      </c>
      <c r="J294" s="15">
        <f t="shared" si="41"/>
        <v>6883.22950401524</v>
      </c>
      <c r="K294" s="15">
        <f t="shared" si="42"/>
        <v>73541.5424278835</v>
      </c>
      <c r="L294" s="15">
        <f t="shared" si="43"/>
        <v>0.0855859375</v>
      </c>
      <c r="M294" s="15">
        <f t="shared" si="44"/>
        <v>0.09359647998633</v>
      </c>
      <c r="N294" s="16">
        <f t="shared" si="45"/>
        <v>45.7142857142857</v>
      </c>
      <c r="O294" s="16">
        <f t="shared" si="46"/>
        <v>1721286.27669655</v>
      </c>
      <c r="P294" s="16">
        <f t="shared" si="47"/>
        <v>3894459.30207218</v>
      </c>
      <c r="Q294" s="16">
        <f t="shared" si="48"/>
        <v>4.72222222222222</v>
      </c>
      <c r="R294" s="16">
        <f t="shared" si="49"/>
        <v>0.441983377713225</v>
      </c>
      <c r="S294" s="16">
        <v>6.5</v>
      </c>
    </row>
    <row r="295" spans="1:19">
      <c r="A295" s="5" t="s">
        <v>234</v>
      </c>
      <c r="B295" s="6">
        <v>121</v>
      </c>
      <c r="C295" s="6">
        <v>12</v>
      </c>
      <c r="D295" s="6">
        <v>200</v>
      </c>
      <c r="E295" s="6">
        <v>294.1995</v>
      </c>
      <c r="F295" s="6">
        <v>9.16921775</v>
      </c>
      <c r="G295" s="5" t="s">
        <v>217</v>
      </c>
      <c r="H295" s="6">
        <v>2706.63540790434</v>
      </c>
      <c r="I295" s="14">
        <f t="shared" si="40"/>
        <v>11499.014510302</v>
      </c>
      <c r="J295" s="15">
        <f t="shared" si="41"/>
        <v>4109.20319089545</v>
      </c>
      <c r="K295" s="15">
        <f t="shared" si="42"/>
        <v>7389.81131940659</v>
      </c>
      <c r="L295" s="15">
        <f t="shared" si="43"/>
        <v>0.357352639847005</v>
      </c>
      <c r="M295" s="15">
        <f t="shared" si="44"/>
        <v>0.556063343607185</v>
      </c>
      <c r="N295" s="16">
        <f t="shared" si="45"/>
        <v>10.0833333333333</v>
      </c>
      <c r="O295" s="16">
        <f t="shared" si="46"/>
        <v>1208925.52415985</v>
      </c>
      <c r="P295" s="16">
        <f t="shared" si="47"/>
        <v>67758.7891190538</v>
      </c>
      <c r="Q295" s="16">
        <f t="shared" si="48"/>
        <v>32.0855614973262</v>
      </c>
      <c r="R295" s="16">
        <f t="shared" si="49"/>
        <v>17.8416046077172</v>
      </c>
      <c r="S295" s="16">
        <v>6.61157024793388</v>
      </c>
    </row>
    <row r="296" spans="1:19">
      <c r="A296" s="5" t="s">
        <v>235</v>
      </c>
      <c r="B296" s="6">
        <v>121</v>
      </c>
      <c r="C296" s="6">
        <v>12</v>
      </c>
      <c r="D296" s="6">
        <v>200</v>
      </c>
      <c r="E296" s="6">
        <v>294.1995</v>
      </c>
      <c r="F296" s="6">
        <v>15.69064</v>
      </c>
      <c r="G296" s="5" t="s">
        <v>217</v>
      </c>
      <c r="H296" s="6">
        <v>2745.86200801889</v>
      </c>
      <c r="I296" s="14">
        <f t="shared" si="40"/>
        <v>11499.014510302</v>
      </c>
      <c r="J296" s="15">
        <f t="shared" si="41"/>
        <v>4109.20319089545</v>
      </c>
      <c r="K296" s="15">
        <f t="shared" si="42"/>
        <v>7389.81131940659</v>
      </c>
      <c r="L296" s="15">
        <f t="shared" si="43"/>
        <v>0.357352639847005</v>
      </c>
      <c r="M296" s="15">
        <f t="shared" si="44"/>
        <v>0.556063343607185</v>
      </c>
      <c r="N296" s="16">
        <f t="shared" si="45"/>
        <v>10.0833333333333</v>
      </c>
      <c r="O296" s="16">
        <f t="shared" si="46"/>
        <v>1208925.52415985</v>
      </c>
      <c r="P296" s="16">
        <f t="shared" si="47"/>
        <v>115950.869080734</v>
      </c>
      <c r="Q296" s="16">
        <f t="shared" si="48"/>
        <v>18.75</v>
      </c>
      <c r="R296" s="16">
        <f t="shared" si="49"/>
        <v>10.4261876926347</v>
      </c>
      <c r="S296" s="16">
        <v>6.61157024793388</v>
      </c>
    </row>
    <row r="297" spans="1:19">
      <c r="A297" s="5" t="s">
        <v>236</v>
      </c>
      <c r="B297" s="6">
        <v>121</v>
      </c>
      <c r="C297" s="6">
        <v>12</v>
      </c>
      <c r="D297" s="6">
        <v>200</v>
      </c>
      <c r="E297" s="6">
        <v>294.1995</v>
      </c>
      <c r="F297" s="6">
        <v>15.69064</v>
      </c>
      <c r="G297" s="5" t="s">
        <v>217</v>
      </c>
      <c r="H297" s="6">
        <v>2843.92850830528</v>
      </c>
      <c r="I297" s="14">
        <f t="shared" si="40"/>
        <v>11499.014510302</v>
      </c>
      <c r="J297" s="15">
        <f t="shared" si="41"/>
        <v>4109.20319089545</v>
      </c>
      <c r="K297" s="15">
        <f t="shared" si="42"/>
        <v>7389.81131940659</v>
      </c>
      <c r="L297" s="15">
        <f t="shared" si="43"/>
        <v>0.357352639847005</v>
      </c>
      <c r="M297" s="15">
        <f t="shared" si="44"/>
        <v>0.556063343607185</v>
      </c>
      <c r="N297" s="16">
        <f t="shared" si="45"/>
        <v>10.0833333333333</v>
      </c>
      <c r="O297" s="16">
        <f t="shared" si="46"/>
        <v>1208925.52415985</v>
      </c>
      <c r="P297" s="16">
        <f t="shared" si="47"/>
        <v>115950.869080734</v>
      </c>
      <c r="Q297" s="16">
        <f t="shared" si="48"/>
        <v>18.75</v>
      </c>
      <c r="R297" s="16">
        <f t="shared" si="49"/>
        <v>10.4261876926347</v>
      </c>
      <c r="S297" s="16">
        <v>6.61157024793388</v>
      </c>
    </row>
    <row r="298" spans="1:19">
      <c r="A298" s="5" t="s">
        <v>237</v>
      </c>
      <c r="B298" s="6">
        <v>108</v>
      </c>
      <c r="C298" s="6">
        <v>4</v>
      </c>
      <c r="D298" s="6">
        <v>324</v>
      </c>
      <c r="E298" s="6">
        <v>339.113957</v>
      </c>
      <c r="F298" s="6">
        <v>34.0290755</v>
      </c>
      <c r="G298" s="5" t="s">
        <v>217</v>
      </c>
      <c r="H298" s="6">
        <v>1117.95810326483</v>
      </c>
      <c r="I298" s="14">
        <f t="shared" si="40"/>
        <v>9160.88417786784</v>
      </c>
      <c r="J298" s="15">
        <f t="shared" si="41"/>
        <v>1306.90254389335</v>
      </c>
      <c r="K298" s="15">
        <f t="shared" si="42"/>
        <v>7853.98163397448</v>
      </c>
      <c r="L298" s="15">
        <f t="shared" si="43"/>
        <v>0.142661179698217</v>
      </c>
      <c r="M298" s="15">
        <f t="shared" si="44"/>
        <v>0.1664</v>
      </c>
      <c r="N298" s="16">
        <f t="shared" si="45"/>
        <v>27</v>
      </c>
      <c r="O298" s="16">
        <f t="shared" si="46"/>
        <v>443188.893073042</v>
      </c>
      <c r="P298" s="16">
        <f t="shared" si="47"/>
        <v>267263.733998131</v>
      </c>
      <c r="Q298" s="16">
        <f t="shared" si="48"/>
        <v>9.96541786743516</v>
      </c>
      <c r="R298" s="16">
        <f t="shared" si="49"/>
        <v>1.65824553314121</v>
      </c>
      <c r="S298" s="16">
        <v>12</v>
      </c>
    </row>
    <row r="299" spans="1:19">
      <c r="A299" s="5" t="s">
        <v>238</v>
      </c>
      <c r="B299" s="6">
        <v>108</v>
      </c>
      <c r="C299" s="6">
        <v>4</v>
      </c>
      <c r="D299" s="6">
        <v>324</v>
      </c>
      <c r="E299" s="6">
        <v>339.113957</v>
      </c>
      <c r="F299" s="6">
        <v>34.0290755</v>
      </c>
      <c r="G299" s="5" t="s">
        <v>217</v>
      </c>
      <c r="H299" s="6">
        <v>1059.118203093</v>
      </c>
      <c r="I299" s="14">
        <f t="shared" si="40"/>
        <v>9160.88417786784</v>
      </c>
      <c r="J299" s="15">
        <f t="shared" si="41"/>
        <v>1306.90254389335</v>
      </c>
      <c r="K299" s="15">
        <f t="shared" si="42"/>
        <v>7853.98163397448</v>
      </c>
      <c r="L299" s="15">
        <f t="shared" si="43"/>
        <v>0.142661179698217</v>
      </c>
      <c r="M299" s="15">
        <f t="shared" si="44"/>
        <v>0.1664</v>
      </c>
      <c r="N299" s="16">
        <f t="shared" si="45"/>
        <v>27</v>
      </c>
      <c r="O299" s="16">
        <f t="shared" si="46"/>
        <v>443188.893073042</v>
      </c>
      <c r="P299" s="16">
        <f t="shared" si="47"/>
        <v>267263.733998131</v>
      </c>
      <c r="Q299" s="16">
        <f t="shared" si="48"/>
        <v>9.96541786743516</v>
      </c>
      <c r="R299" s="16">
        <f t="shared" si="49"/>
        <v>1.65824553314121</v>
      </c>
      <c r="S299" s="16">
        <v>12</v>
      </c>
    </row>
    <row r="300" spans="1:19">
      <c r="A300" s="5" t="s">
        <v>239</v>
      </c>
      <c r="B300" s="6">
        <v>108</v>
      </c>
      <c r="C300" s="6">
        <v>4</v>
      </c>
      <c r="D300" s="6">
        <v>324</v>
      </c>
      <c r="E300" s="6">
        <v>339.113957</v>
      </c>
      <c r="F300" s="6">
        <v>34.0290755</v>
      </c>
      <c r="G300" s="5" t="s">
        <v>217</v>
      </c>
      <c r="H300" s="6">
        <v>1073.82817813596</v>
      </c>
      <c r="I300" s="14">
        <f t="shared" si="40"/>
        <v>9160.88417786784</v>
      </c>
      <c r="J300" s="15">
        <f t="shared" si="41"/>
        <v>1306.90254389335</v>
      </c>
      <c r="K300" s="15">
        <f t="shared" si="42"/>
        <v>7853.98163397448</v>
      </c>
      <c r="L300" s="15">
        <f t="shared" si="43"/>
        <v>0.142661179698217</v>
      </c>
      <c r="M300" s="15">
        <f t="shared" si="44"/>
        <v>0.1664</v>
      </c>
      <c r="N300" s="16">
        <f t="shared" si="45"/>
        <v>27</v>
      </c>
      <c r="O300" s="16">
        <f t="shared" si="46"/>
        <v>443188.893073042</v>
      </c>
      <c r="P300" s="16">
        <f t="shared" si="47"/>
        <v>267263.733998131</v>
      </c>
      <c r="Q300" s="16">
        <f t="shared" si="48"/>
        <v>9.96541786743516</v>
      </c>
      <c r="R300" s="16">
        <f t="shared" si="49"/>
        <v>1.65824553314121</v>
      </c>
      <c r="S300" s="16">
        <v>12</v>
      </c>
    </row>
    <row r="301" spans="1:19">
      <c r="A301" s="5" t="s">
        <v>65</v>
      </c>
      <c r="B301" s="6">
        <v>101.8</v>
      </c>
      <c r="C301" s="6">
        <v>2.94</v>
      </c>
      <c r="D301" s="6">
        <v>200</v>
      </c>
      <c r="E301" s="6">
        <v>319.69679</v>
      </c>
      <c r="F301" s="6">
        <v>17.9461695</v>
      </c>
      <c r="G301" s="5"/>
      <c r="H301" s="6">
        <v>627.62560183289</v>
      </c>
      <c r="I301" s="14">
        <f t="shared" si="40"/>
        <v>8139.26966284697</v>
      </c>
      <c r="J301" s="15">
        <f t="shared" si="41"/>
        <v>913.098878217628</v>
      </c>
      <c r="K301" s="15">
        <f t="shared" si="42"/>
        <v>7226.17078462934</v>
      </c>
      <c r="L301" s="15">
        <f t="shared" si="43"/>
        <v>0.112184374770825</v>
      </c>
      <c r="M301" s="15">
        <f t="shared" si="44"/>
        <v>0.126359991402343</v>
      </c>
      <c r="N301" s="16">
        <f t="shared" si="45"/>
        <v>34.6258503401361</v>
      </c>
      <c r="O301" s="16">
        <f t="shared" si="46"/>
        <v>291914.780318777</v>
      </c>
      <c r="P301" s="16">
        <f t="shared" si="47"/>
        <v>129682.085736906</v>
      </c>
      <c r="Q301" s="16">
        <f t="shared" si="48"/>
        <v>17.8142076502732</v>
      </c>
      <c r="R301" s="16">
        <f t="shared" si="49"/>
        <v>2.25100312552808</v>
      </c>
      <c r="S301" s="16">
        <v>7.85854616895874</v>
      </c>
    </row>
    <row r="302" spans="1:19">
      <c r="A302" s="5" t="s">
        <v>66</v>
      </c>
      <c r="B302" s="6">
        <v>101.8</v>
      </c>
      <c r="C302" s="6">
        <v>2.94</v>
      </c>
      <c r="D302" s="6">
        <v>200</v>
      </c>
      <c r="E302" s="6">
        <v>319.69679</v>
      </c>
      <c r="F302" s="6">
        <v>37.3633365</v>
      </c>
      <c r="G302" s="5"/>
      <c r="H302" s="6">
        <v>659.987546927398</v>
      </c>
      <c r="I302" s="14">
        <f t="shared" si="40"/>
        <v>8139.26966284697</v>
      </c>
      <c r="J302" s="15">
        <f t="shared" si="41"/>
        <v>913.098878217628</v>
      </c>
      <c r="K302" s="15">
        <f t="shared" si="42"/>
        <v>7226.17078462934</v>
      </c>
      <c r="L302" s="15">
        <f t="shared" si="43"/>
        <v>0.112184374770825</v>
      </c>
      <c r="M302" s="15">
        <f t="shared" si="44"/>
        <v>0.126359991402343</v>
      </c>
      <c r="N302" s="16">
        <f t="shared" si="45"/>
        <v>34.6258503401361</v>
      </c>
      <c r="O302" s="16">
        <f t="shared" si="46"/>
        <v>291914.780318777</v>
      </c>
      <c r="P302" s="16">
        <f t="shared" si="47"/>
        <v>269993.850632575</v>
      </c>
      <c r="Q302" s="16">
        <f t="shared" si="48"/>
        <v>8.55643044619423</v>
      </c>
      <c r="R302" s="16">
        <f t="shared" si="49"/>
        <v>1.08119047761585</v>
      </c>
      <c r="S302" s="16">
        <v>7.85854616895874</v>
      </c>
    </row>
    <row r="303" spans="1:19">
      <c r="A303" s="5" t="s">
        <v>67</v>
      </c>
      <c r="B303" s="6">
        <v>101.8</v>
      </c>
      <c r="C303" s="6">
        <v>5.7</v>
      </c>
      <c r="D303" s="6">
        <v>200</v>
      </c>
      <c r="E303" s="6">
        <v>304.986815</v>
      </c>
      <c r="F303" s="6">
        <v>17.9461695</v>
      </c>
      <c r="G303" s="5"/>
      <c r="H303" s="6">
        <v>953.206382783701</v>
      </c>
      <c r="I303" s="14">
        <f t="shared" si="40"/>
        <v>8139.26966284697</v>
      </c>
      <c r="J303" s="15">
        <f t="shared" si="41"/>
        <v>1720.87020785688</v>
      </c>
      <c r="K303" s="15">
        <f t="shared" si="42"/>
        <v>6418.39945499009</v>
      </c>
      <c r="L303" s="15">
        <f t="shared" si="43"/>
        <v>0.211428086196981</v>
      </c>
      <c r="M303" s="15">
        <f t="shared" si="44"/>
        <v>0.26811516171979</v>
      </c>
      <c r="N303" s="16">
        <f t="shared" si="45"/>
        <v>17.859649122807</v>
      </c>
      <c r="O303" s="16">
        <f t="shared" si="46"/>
        <v>524842.723722658</v>
      </c>
      <c r="P303" s="16">
        <f t="shared" si="47"/>
        <v>115185.68453796</v>
      </c>
      <c r="Q303" s="16">
        <f t="shared" si="48"/>
        <v>16.9945355191257</v>
      </c>
      <c r="R303" s="16">
        <f t="shared" si="49"/>
        <v>4.5564926390631</v>
      </c>
      <c r="S303" s="16">
        <v>7.85854616895874</v>
      </c>
    </row>
    <row r="304" spans="1:19">
      <c r="A304" s="5" t="s">
        <v>68</v>
      </c>
      <c r="B304" s="6">
        <v>101.8</v>
      </c>
      <c r="C304" s="6">
        <v>5.7</v>
      </c>
      <c r="D304" s="6">
        <v>200</v>
      </c>
      <c r="E304" s="6">
        <v>304.986815</v>
      </c>
      <c r="F304" s="6">
        <v>37.3633365</v>
      </c>
      <c r="G304" s="5"/>
      <c r="H304" s="6">
        <v>970.858352835251</v>
      </c>
      <c r="I304" s="14">
        <f t="shared" si="40"/>
        <v>8139.26966284697</v>
      </c>
      <c r="J304" s="15">
        <f t="shared" si="41"/>
        <v>1720.87020785688</v>
      </c>
      <c r="K304" s="15">
        <f t="shared" si="42"/>
        <v>6418.39945499009</v>
      </c>
      <c r="L304" s="15">
        <f t="shared" si="43"/>
        <v>0.211428086196981</v>
      </c>
      <c r="M304" s="15">
        <f t="shared" si="44"/>
        <v>0.26811516171979</v>
      </c>
      <c r="N304" s="16">
        <f t="shared" si="45"/>
        <v>17.859649122807</v>
      </c>
      <c r="O304" s="16">
        <f t="shared" si="46"/>
        <v>524842.723722658</v>
      </c>
      <c r="P304" s="16">
        <f t="shared" si="47"/>
        <v>239812.818628211</v>
      </c>
      <c r="Q304" s="16">
        <f t="shared" si="48"/>
        <v>8.16272965879265</v>
      </c>
      <c r="R304" s="16">
        <f t="shared" si="49"/>
        <v>2.18855158254212</v>
      </c>
      <c r="S304" s="16">
        <v>7.85854616895874</v>
      </c>
    </row>
    <row r="305" spans="1:19">
      <c r="A305" s="5" t="s">
        <v>240</v>
      </c>
      <c r="B305" s="6">
        <v>100</v>
      </c>
      <c r="C305" s="6">
        <v>0.52</v>
      </c>
      <c r="D305" s="6">
        <v>200</v>
      </c>
      <c r="E305" s="6">
        <v>244.185585</v>
      </c>
      <c r="F305" s="6">
        <v>17.9461695</v>
      </c>
      <c r="G305" s="5"/>
      <c r="H305" s="6">
        <v>238.301595695925</v>
      </c>
      <c r="I305" s="14">
        <f t="shared" si="40"/>
        <v>7853.98163397448</v>
      </c>
      <c r="J305" s="15">
        <f t="shared" si="41"/>
        <v>162.513331333139</v>
      </c>
      <c r="K305" s="15">
        <f t="shared" si="42"/>
        <v>7691.46830264134</v>
      </c>
      <c r="L305" s="15">
        <f t="shared" si="43"/>
        <v>0.02069184</v>
      </c>
      <c r="M305" s="15">
        <f t="shared" si="44"/>
        <v>0.0211290386878835</v>
      </c>
      <c r="N305" s="16">
        <f t="shared" si="45"/>
        <v>192.307692307692</v>
      </c>
      <c r="O305" s="16">
        <f t="shared" si="46"/>
        <v>39683.4128818814</v>
      </c>
      <c r="P305" s="16">
        <f t="shared" si="47"/>
        <v>138032.393863079</v>
      </c>
      <c r="Q305" s="16">
        <f t="shared" si="48"/>
        <v>13.6065573770492</v>
      </c>
      <c r="R305" s="16">
        <f t="shared" si="49"/>
        <v>0.287493477228579</v>
      </c>
      <c r="S305" s="16">
        <v>8</v>
      </c>
    </row>
    <row r="306" spans="1:19">
      <c r="A306" s="5" t="s">
        <v>241</v>
      </c>
      <c r="B306" s="6">
        <v>100</v>
      </c>
      <c r="C306" s="6">
        <v>0.52</v>
      </c>
      <c r="D306" s="6">
        <v>200</v>
      </c>
      <c r="E306" s="6">
        <v>244.185585</v>
      </c>
      <c r="F306" s="6">
        <v>17.9461695</v>
      </c>
      <c r="G306" s="5"/>
      <c r="H306" s="6">
        <v>242.224255707381</v>
      </c>
      <c r="I306" s="14">
        <f t="shared" si="40"/>
        <v>7853.98163397448</v>
      </c>
      <c r="J306" s="15">
        <f t="shared" si="41"/>
        <v>162.513331333139</v>
      </c>
      <c r="K306" s="15">
        <f t="shared" si="42"/>
        <v>7691.46830264134</v>
      </c>
      <c r="L306" s="15">
        <f t="shared" si="43"/>
        <v>0.02069184</v>
      </c>
      <c r="M306" s="15">
        <f t="shared" si="44"/>
        <v>0.0211290386878835</v>
      </c>
      <c r="N306" s="16">
        <f t="shared" si="45"/>
        <v>192.307692307692</v>
      </c>
      <c r="O306" s="16">
        <f t="shared" si="46"/>
        <v>39683.4128818814</v>
      </c>
      <c r="P306" s="16">
        <f t="shared" si="47"/>
        <v>138032.393863079</v>
      </c>
      <c r="Q306" s="16">
        <f t="shared" si="48"/>
        <v>13.6065573770492</v>
      </c>
      <c r="R306" s="16">
        <f t="shared" si="49"/>
        <v>0.287493477228579</v>
      </c>
      <c r="S306" s="16">
        <v>8</v>
      </c>
    </row>
    <row r="307" spans="1:19">
      <c r="A307" s="5" t="s">
        <v>242</v>
      </c>
      <c r="B307" s="6">
        <v>100</v>
      </c>
      <c r="C307" s="6">
        <v>0.52</v>
      </c>
      <c r="D307" s="6">
        <v>200</v>
      </c>
      <c r="E307" s="6">
        <v>244.185585</v>
      </c>
      <c r="F307" s="6">
        <v>17.9461695</v>
      </c>
      <c r="G307" s="5"/>
      <c r="H307" s="6">
        <v>237.320930693061</v>
      </c>
      <c r="I307" s="14">
        <f t="shared" si="40"/>
        <v>7853.98163397448</v>
      </c>
      <c r="J307" s="15">
        <f t="shared" si="41"/>
        <v>162.513331333139</v>
      </c>
      <c r="K307" s="15">
        <f t="shared" si="42"/>
        <v>7691.46830264134</v>
      </c>
      <c r="L307" s="15">
        <f t="shared" si="43"/>
        <v>0.02069184</v>
      </c>
      <c r="M307" s="15">
        <f t="shared" si="44"/>
        <v>0.0211290386878835</v>
      </c>
      <c r="N307" s="16">
        <f t="shared" si="45"/>
        <v>192.307692307692</v>
      </c>
      <c r="O307" s="16">
        <f t="shared" si="46"/>
        <v>39683.4128818814</v>
      </c>
      <c r="P307" s="16">
        <f t="shared" si="47"/>
        <v>138032.393863079</v>
      </c>
      <c r="Q307" s="16">
        <f t="shared" si="48"/>
        <v>13.6065573770492</v>
      </c>
      <c r="R307" s="16">
        <f t="shared" si="49"/>
        <v>0.287493477228579</v>
      </c>
      <c r="S307" s="16">
        <v>8</v>
      </c>
    </row>
    <row r="308" spans="1:19">
      <c r="A308" s="5" t="s">
        <v>243</v>
      </c>
      <c r="B308" s="6">
        <v>100</v>
      </c>
      <c r="C308" s="6">
        <v>0.52</v>
      </c>
      <c r="D308" s="6">
        <v>200</v>
      </c>
      <c r="E308" s="6">
        <v>244.185585</v>
      </c>
      <c r="F308" s="6">
        <v>37.3633365</v>
      </c>
      <c r="G308" s="5"/>
      <c r="H308" s="6">
        <v>389.324006136964</v>
      </c>
      <c r="I308" s="14">
        <f t="shared" si="40"/>
        <v>7853.98163397448</v>
      </c>
      <c r="J308" s="15">
        <f t="shared" si="41"/>
        <v>162.513331333139</v>
      </c>
      <c r="K308" s="15">
        <f t="shared" si="42"/>
        <v>7691.46830264134</v>
      </c>
      <c r="L308" s="15">
        <f t="shared" si="43"/>
        <v>0.02069184</v>
      </c>
      <c r="M308" s="15">
        <f t="shared" si="44"/>
        <v>0.0211290386878835</v>
      </c>
      <c r="N308" s="16">
        <f t="shared" si="45"/>
        <v>192.307692307692</v>
      </c>
      <c r="O308" s="16">
        <f t="shared" si="46"/>
        <v>39683.4128818814</v>
      </c>
      <c r="P308" s="16">
        <f t="shared" si="47"/>
        <v>287378.918370672</v>
      </c>
      <c r="Q308" s="16">
        <f t="shared" si="48"/>
        <v>6.53543307086614</v>
      </c>
      <c r="R308" s="16">
        <f t="shared" si="49"/>
        <v>0.138087418196404</v>
      </c>
      <c r="S308" s="16">
        <v>8</v>
      </c>
    </row>
    <row r="309" spans="1:19">
      <c r="A309" s="5" t="s">
        <v>244</v>
      </c>
      <c r="B309" s="6">
        <v>100</v>
      </c>
      <c r="C309" s="6">
        <v>0.52</v>
      </c>
      <c r="D309" s="6">
        <v>200</v>
      </c>
      <c r="E309" s="6">
        <v>244.185585</v>
      </c>
      <c r="F309" s="6">
        <v>37.3633365</v>
      </c>
      <c r="G309" s="5"/>
      <c r="H309" s="6">
        <v>394.227331151284</v>
      </c>
      <c r="I309" s="14">
        <f t="shared" si="40"/>
        <v>7853.98163397448</v>
      </c>
      <c r="J309" s="15">
        <f t="shared" si="41"/>
        <v>162.513331333139</v>
      </c>
      <c r="K309" s="15">
        <f t="shared" si="42"/>
        <v>7691.46830264134</v>
      </c>
      <c r="L309" s="15">
        <f t="shared" si="43"/>
        <v>0.02069184</v>
      </c>
      <c r="M309" s="15">
        <f t="shared" si="44"/>
        <v>0.0211290386878835</v>
      </c>
      <c r="N309" s="16">
        <f t="shared" si="45"/>
        <v>192.307692307692</v>
      </c>
      <c r="O309" s="16">
        <f t="shared" si="46"/>
        <v>39683.4128818814</v>
      </c>
      <c r="P309" s="16">
        <f t="shared" si="47"/>
        <v>287378.918370672</v>
      </c>
      <c r="Q309" s="16">
        <f t="shared" si="48"/>
        <v>6.53543307086614</v>
      </c>
      <c r="R309" s="16">
        <f t="shared" si="49"/>
        <v>0.138087418196404</v>
      </c>
      <c r="S309" s="16">
        <v>8</v>
      </c>
    </row>
    <row r="310" spans="1:19">
      <c r="A310" s="5" t="s">
        <v>245</v>
      </c>
      <c r="B310" s="6">
        <v>100</v>
      </c>
      <c r="C310" s="6">
        <v>0.52</v>
      </c>
      <c r="D310" s="6">
        <v>200</v>
      </c>
      <c r="E310" s="6">
        <v>244.185585</v>
      </c>
      <c r="F310" s="6">
        <v>37.3633365</v>
      </c>
      <c r="G310" s="5"/>
      <c r="H310" s="6">
        <v>404.033981179923</v>
      </c>
      <c r="I310" s="14">
        <f t="shared" si="40"/>
        <v>7853.98163397448</v>
      </c>
      <c r="J310" s="15">
        <f t="shared" si="41"/>
        <v>162.513331333139</v>
      </c>
      <c r="K310" s="15">
        <f t="shared" si="42"/>
        <v>7691.46830264134</v>
      </c>
      <c r="L310" s="15">
        <f t="shared" si="43"/>
        <v>0.02069184</v>
      </c>
      <c r="M310" s="15">
        <f t="shared" si="44"/>
        <v>0.0211290386878835</v>
      </c>
      <c r="N310" s="16">
        <f t="shared" si="45"/>
        <v>192.307692307692</v>
      </c>
      <c r="O310" s="16">
        <f t="shared" si="46"/>
        <v>39683.4128818814</v>
      </c>
      <c r="P310" s="16">
        <f t="shared" si="47"/>
        <v>287378.918370672</v>
      </c>
      <c r="Q310" s="16">
        <f t="shared" si="48"/>
        <v>6.53543307086614</v>
      </c>
      <c r="R310" s="16">
        <f t="shared" si="49"/>
        <v>0.138087418196404</v>
      </c>
      <c r="S310" s="16">
        <v>8</v>
      </c>
    </row>
    <row r="311" spans="1:19">
      <c r="A311" s="5" t="s">
        <v>246</v>
      </c>
      <c r="B311" s="6">
        <v>150</v>
      </c>
      <c r="C311" s="6">
        <v>0.7</v>
      </c>
      <c r="D311" s="6">
        <v>480</v>
      </c>
      <c r="E311" s="6">
        <v>245.16625</v>
      </c>
      <c r="F311" s="6">
        <v>22.555295</v>
      </c>
      <c r="G311" s="5"/>
      <c r="H311" s="6">
        <v>538.385086572276</v>
      </c>
      <c r="I311" s="14">
        <f t="shared" si="40"/>
        <v>17671.4586764426</v>
      </c>
      <c r="J311" s="15">
        <f t="shared" si="41"/>
        <v>328.32784822667</v>
      </c>
      <c r="K311" s="15">
        <f t="shared" si="42"/>
        <v>17343.1308282159</v>
      </c>
      <c r="L311" s="15">
        <f t="shared" si="43"/>
        <v>0.0185795555555556</v>
      </c>
      <c r="M311" s="15">
        <f t="shared" si="44"/>
        <v>0.018931290519501</v>
      </c>
      <c r="N311" s="16">
        <f t="shared" si="45"/>
        <v>214.285714285714</v>
      </c>
      <c r="O311" s="16">
        <f t="shared" si="46"/>
        <v>80494.9073203018</v>
      </c>
      <c r="P311" s="16">
        <f t="shared" si="47"/>
        <v>391179.432054004</v>
      </c>
      <c r="Q311" s="16">
        <f t="shared" si="48"/>
        <v>10.8695652173913</v>
      </c>
      <c r="R311" s="16">
        <f t="shared" si="49"/>
        <v>0.205774896951098</v>
      </c>
      <c r="S311" s="16">
        <v>12.8</v>
      </c>
    </row>
    <row r="312" spans="1:19">
      <c r="A312" s="5" t="s">
        <v>247</v>
      </c>
      <c r="B312" s="6">
        <v>150</v>
      </c>
      <c r="C312" s="6">
        <v>0.7</v>
      </c>
      <c r="D312" s="6">
        <v>480</v>
      </c>
      <c r="E312" s="6">
        <v>245.16625</v>
      </c>
      <c r="F312" s="6">
        <v>33.4406765</v>
      </c>
      <c r="G312" s="5"/>
      <c r="H312" s="6">
        <v>744.324737173693</v>
      </c>
      <c r="I312" s="14">
        <f t="shared" si="40"/>
        <v>17671.4586764426</v>
      </c>
      <c r="J312" s="15">
        <f t="shared" si="41"/>
        <v>328.32784822667</v>
      </c>
      <c r="K312" s="15">
        <f t="shared" si="42"/>
        <v>17343.1308282159</v>
      </c>
      <c r="L312" s="15">
        <f t="shared" si="43"/>
        <v>0.0185795555555556</v>
      </c>
      <c r="M312" s="15">
        <f t="shared" si="44"/>
        <v>0.018931290519501</v>
      </c>
      <c r="N312" s="16">
        <f t="shared" si="45"/>
        <v>214.285714285714</v>
      </c>
      <c r="O312" s="16">
        <f t="shared" si="46"/>
        <v>80494.9073203018</v>
      </c>
      <c r="P312" s="16">
        <f t="shared" si="47"/>
        <v>579966.027523546</v>
      </c>
      <c r="Q312" s="16">
        <f t="shared" si="48"/>
        <v>7.33137829912023</v>
      </c>
      <c r="R312" s="16">
        <f t="shared" si="49"/>
        <v>0.13879245248901</v>
      </c>
      <c r="S312" s="16">
        <v>12.8</v>
      </c>
    </row>
    <row r="313" spans="1:19">
      <c r="A313" s="5" t="s">
        <v>248</v>
      </c>
      <c r="B313" s="6">
        <v>159</v>
      </c>
      <c r="C313" s="6">
        <v>5.07</v>
      </c>
      <c r="D313" s="6">
        <v>477</v>
      </c>
      <c r="E313" s="6">
        <v>391.5</v>
      </c>
      <c r="F313" s="6">
        <v>41.5</v>
      </c>
      <c r="G313" s="5"/>
      <c r="H313" s="6">
        <v>2230</v>
      </c>
      <c r="I313" s="14">
        <f t="shared" si="40"/>
        <v>19855.6509688509</v>
      </c>
      <c r="J313" s="15">
        <f t="shared" si="41"/>
        <v>2451.77776083708</v>
      </c>
      <c r="K313" s="15">
        <f t="shared" si="42"/>
        <v>17403.8732080138</v>
      </c>
      <c r="L313" s="15">
        <f t="shared" si="43"/>
        <v>0.123480099679601</v>
      </c>
      <c r="M313" s="15">
        <f t="shared" si="44"/>
        <v>0.140875409257068</v>
      </c>
      <c r="N313" s="16">
        <f t="shared" si="45"/>
        <v>31.3609467455621</v>
      </c>
      <c r="O313" s="16">
        <f t="shared" si="46"/>
        <v>959870.993367715</v>
      </c>
      <c r="P313" s="16">
        <f t="shared" si="47"/>
        <v>722260.738132573</v>
      </c>
      <c r="Q313" s="16">
        <f t="shared" si="48"/>
        <v>9.43373493975904</v>
      </c>
      <c r="R313" s="16">
        <f t="shared" si="49"/>
        <v>1.32898127046126</v>
      </c>
      <c r="S313" s="16">
        <v>12</v>
      </c>
    </row>
    <row r="314" spans="1:19">
      <c r="A314" s="5" t="s">
        <v>249</v>
      </c>
      <c r="B314" s="6">
        <v>630</v>
      </c>
      <c r="C314" s="6">
        <v>7</v>
      </c>
      <c r="D314" s="6">
        <v>1890</v>
      </c>
      <c r="E314" s="6">
        <v>291.4</v>
      </c>
      <c r="F314" s="6">
        <v>36</v>
      </c>
      <c r="G314" s="5"/>
      <c r="H314" s="6">
        <v>16650</v>
      </c>
      <c r="I314" s="14">
        <f t="shared" si="40"/>
        <v>311724.531052447</v>
      </c>
      <c r="J314" s="15">
        <f t="shared" si="41"/>
        <v>13700.4855623051</v>
      </c>
      <c r="K314" s="15">
        <f t="shared" si="42"/>
        <v>298024.045490142</v>
      </c>
      <c r="L314" s="15">
        <f t="shared" si="43"/>
        <v>0.0439506172839506</v>
      </c>
      <c r="M314" s="15">
        <f t="shared" si="44"/>
        <v>0.0459710743801653</v>
      </c>
      <c r="N314" s="16">
        <f t="shared" si="45"/>
        <v>90</v>
      </c>
      <c r="O314" s="16">
        <f t="shared" si="46"/>
        <v>3992321.4928557</v>
      </c>
      <c r="P314" s="16">
        <f t="shared" si="47"/>
        <v>10728865.6376451</v>
      </c>
      <c r="Q314" s="16">
        <f t="shared" si="48"/>
        <v>8.09444444444444</v>
      </c>
      <c r="R314" s="16">
        <f t="shared" si="49"/>
        <v>0.372110307621671</v>
      </c>
      <c r="S314" s="16">
        <v>12</v>
      </c>
    </row>
    <row r="315" spans="1:19">
      <c r="A315" s="5" t="s">
        <v>250</v>
      </c>
      <c r="B315" s="6">
        <v>630</v>
      </c>
      <c r="C315" s="6">
        <v>7.61</v>
      </c>
      <c r="D315" s="6">
        <v>1890</v>
      </c>
      <c r="E315" s="6">
        <v>349.5</v>
      </c>
      <c r="F315" s="6">
        <v>35</v>
      </c>
      <c r="G315" s="5"/>
      <c r="H315" s="6">
        <v>18000</v>
      </c>
      <c r="I315" s="14">
        <f t="shared" si="40"/>
        <v>311724.531052447</v>
      </c>
      <c r="J315" s="15">
        <f t="shared" si="41"/>
        <v>14879.8014311916</v>
      </c>
      <c r="K315" s="15">
        <f t="shared" si="42"/>
        <v>296844.729621256</v>
      </c>
      <c r="L315" s="15">
        <f t="shared" si="43"/>
        <v>0.047733816074578</v>
      </c>
      <c r="M315" s="15">
        <f t="shared" si="44"/>
        <v>0.050126547472063</v>
      </c>
      <c r="N315" s="16">
        <f t="shared" si="45"/>
        <v>82.7858081471748</v>
      </c>
      <c r="O315" s="16">
        <f t="shared" si="46"/>
        <v>5200490.60020146</v>
      </c>
      <c r="P315" s="16">
        <f t="shared" si="47"/>
        <v>10389565.5367439</v>
      </c>
      <c r="Q315" s="16">
        <f t="shared" si="48"/>
        <v>9.98571428571429</v>
      </c>
      <c r="R315" s="16">
        <f t="shared" si="49"/>
        <v>0.500549381185315</v>
      </c>
      <c r="S315" s="16">
        <v>12</v>
      </c>
    </row>
    <row r="316" spans="1:19">
      <c r="A316" s="5" t="s">
        <v>251</v>
      </c>
      <c r="B316" s="6">
        <v>630</v>
      </c>
      <c r="C316" s="6">
        <v>8.44</v>
      </c>
      <c r="D316" s="6">
        <v>1890</v>
      </c>
      <c r="E316" s="6">
        <v>350</v>
      </c>
      <c r="F316" s="6">
        <v>34.5</v>
      </c>
      <c r="G316" s="5"/>
      <c r="H316" s="6">
        <v>18600</v>
      </c>
      <c r="I316" s="14">
        <f t="shared" si="40"/>
        <v>311724.531052447</v>
      </c>
      <c r="J316" s="15">
        <f t="shared" si="41"/>
        <v>16480.6895032189</v>
      </c>
      <c r="K316" s="15">
        <f t="shared" si="42"/>
        <v>295243.841549228</v>
      </c>
      <c r="L316" s="15">
        <f t="shared" si="43"/>
        <v>0.0528694018644495</v>
      </c>
      <c r="M316" s="15">
        <f t="shared" si="44"/>
        <v>0.0558206037990159</v>
      </c>
      <c r="N316" s="16">
        <f t="shared" si="45"/>
        <v>74.6445497630332</v>
      </c>
      <c r="O316" s="16">
        <f t="shared" si="46"/>
        <v>5768241.32612662</v>
      </c>
      <c r="P316" s="16">
        <f t="shared" si="47"/>
        <v>10185912.5334484</v>
      </c>
      <c r="Q316" s="16">
        <f t="shared" si="48"/>
        <v>10.1449275362319</v>
      </c>
      <c r="R316" s="16">
        <f t="shared" si="49"/>
        <v>0.566295980569727</v>
      </c>
      <c r="S316" s="16">
        <v>12</v>
      </c>
    </row>
    <row r="317" spans="1:19">
      <c r="A317" s="5" t="s">
        <v>252</v>
      </c>
      <c r="B317" s="6">
        <v>630</v>
      </c>
      <c r="C317" s="6">
        <v>10.21</v>
      </c>
      <c r="D317" s="6">
        <v>1890</v>
      </c>
      <c r="E317" s="6">
        <v>323.3</v>
      </c>
      <c r="F317" s="6">
        <v>38.4</v>
      </c>
      <c r="G317" s="5"/>
      <c r="H317" s="6">
        <v>20500</v>
      </c>
      <c r="I317" s="14">
        <f t="shared" si="40"/>
        <v>311724.531052447</v>
      </c>
      <c r="J317" s="15">
        <f t="shared" si="41"/>
        <v>19880.1739269455</v>
      </c>
      <c r="K317" s="15">
        <f t="shared" si="42"/>
        <v>291844.357125502</v>
      </c>
      <c r="L317" s="15">
        <f t="shared" si="43"/>
        <v>0.0637748138070042</v>
      </c>
      <c r="M317" s="15">
        <f t="shared" si="44"/>
        <v>0.0681190965031969</v>
      </c>
      <c r="N317" s="16">
        <f t="shared" si="45"/>
        <v>61.7042115572968</v>
      </c>
      <c r="O317" s="16">
        <f t="shared" si="46"/>
        <v>6427260.23058149</v>
      </c>
      <c r="P317" s="16">
        <f t="shared" si="47"/>
        <v>11206823.3136193</v>
      </c>
      <c r="Q317" s="16">
        <f t="shared" si="48"/>
        <v>8.41927083333333</v>
      </c>
      <c r="R317" s="16">
        <f t="shared" si="49"/>
        <v>0.573513122382385</v>
      </c>
      <c r="S317" s="16">
        <v>12</v>
      </c>
    </row>
    <row r="318" spans="1:19">
      <c r="A318" s="5" t="s">
        <v>253</v>
      </c>
      <c r="B318" s="6">
        <v>630</v>
      </c>
      <c r="C318" s="6">
        <v>11.6</v>
      </c>
      <c r="D318" s="6">
        <v>1890</v>
      </c>
      <c r="E318" s="6">
        <v>347.2</v>
      </c>
      <c r="F318" s="6">
        <v>46</v>
      </c>
      <c r="G318" s="5"/>
      <c r="H318" s="6">
        <v>24400</v>
      </c>
      <c r="I318" s="14">
        <f t="shared" si="40"/>
        <v>311724.531052447</v>
      </c>
      <c r="J318" s="15">
        <f t="shared" si="41"/>
        <v>22536.0264049672</v>
      </c>
      <c r="K318" s="15">
        <f t="shared" si="42"/>
        <v>289188.50464748</v>
      </c>
      <c r="L318" s="15">
        <f t="shared" si="43"/>
        <v>0.0722946837994459</v>
      </c>
      <c r="M318" s="15">
        <f t="shared" si="44"/>
        <v>0.0779285000710473</v>
      </c>
      <c r="N318" s="16">
        <f t="shared" si="45"/>
        <v>54.3103448275862</v>
      </c>
      <c r="O318" s="16">
        <f t="shared" si="46"/>
        <v>7824508.36780462</v>
      </c>
      <c r="P318" s="16">
        <f t="shared" si="47"/>
        <v>13302671.2137841</v>
      </c>
      <c r="Q318" s="16">
        <f t="shared" si="48"/>
        <v>7.54782608695652</v>
      </c>
      <c r="R318" s="16">
        <f t="shared" si="49"/>
        <v>0.588190765753644</v>
      </c>
      <c r="S318" s="16">
        <v>12</v>
      </c>
    </row>
    <row r="319" spans="1:19">
      <c r="A319" s="5" t="s">
        <v>254</v>
      </c>
      <c r="B319" s="6">
        <v>720</v>
      </c>
      <c r="C319" s="6">
        <v>8.3</v>
      </c>
      <c r="D319" s="6">
        <v>2160</v>
      </c>
      <c r="E319" s="6">
        <v>312</v>
      </c>
      <c r="F319" s="6">
        <v>15</v>
      </c>
      <c r="G319" s="5"/>
      <c r="H319" s="6">
        <v>15000</v>
      </c>
      <c r="I319" s="14">
        <f t="shared" si="40"/>
        <v>407150.407905237</v>
      </c>
      <c r="J319" s="15">
        <f t="shared" si="41"/>
        <v>18557.7333799469</v>
      </c>
      <c r="K319" s="15">
        <f t="shared" si="42"/>
        <v>388592.67452529</v>
      </c>
      <c r="L319" s="15">
        <f t="shared" si="43"/>
        <v>0.0455795524691359</v>
      </c>
      <c r="M319" s="15">
        <f t="shared" si="44"/>
        <v>0.0477562614957094</v>
      </c>
      <c r="N319" s="16">
        <f t="shared" si="45"/>
        <v>86.7469879518072</v>
      </c>
      <c r="O319" s="16">
        <f t="shared" si="46"/>
        <v>5790012.81454342</v>
      </c>
      <c r="P319" s="16">
        <f t="shared" si="47"/>
        <v>5828890.11787935</v>
      </c>
      <c r="Q319" s="16">
        <f t="shared" si="48"/>
        <v>20.8</v>
      </c>
      <c r="R319" s="16">
        <f t="shared" si="49"/>
        <v>0.993330239110755</v>
      </c>
      <c r="S319" s="16">
        <v>12</v>
      </c>
    </row>
    <row r="320" spans="1:19">
      <c r="A320" s="5" t="s">
        <v>255</v>
      </c>
      <c r="B320" s="6">
        <v>820</v>
      </c>
      <c r="C320" s="6">
        <v>8.93</v>
      </c>
      <c r="D320" s="6">
        <v>2460</v>
      </c>
      <c r="E320" s="6">
        <v>331</v>
      </c>
      <c r="F320" s="6">
        <v>45</v>
      </c>
      <c r="G320" s="5"/>
      <c r="H320" s="6">
        <v>33600</v>
      </c>
      <c r="I320" s="14">
        <f t="shared" si="40"/>
        <v>528101.725068444</v>
      </c>
      <c r="J320" s="15">
        <f t="shared" si="41"/>
        <v>22754.1003731754</v>
      </c>
      <c r="K320" s="15">
        <f t="shared" si="42"/>
        <v>505347.624695269</v>
      </c>
      <c r="L320" s="15">
        <f t="shared" si="43"/>
        <v>0.0430865859607377</v>
      </c>
      <c r="M320" s="15">
        <f t="shared" si="44"/>
        <v>0.0450266297123617</v>
      </c>
      <c r="N320" s="16">
        <f t="shared" si="45"/>
        <v>91.8253079507279</v>
      </c>
      <c r="O320" s="16">
        <f t="shared" si="46"/>
        <v>7531607.22352106</v>
      </c>
      <c r="P320" s="16">
        <f t="shared" si="47"/>
        <v>22740643.1112871</v>
      </c>
      <c r="Q320" s="16">
        <f t="shared" si="48"/>
        <v>7.35555555555556</v>
      </c>
      <c r="R320" s="16">
        <f t="shared" si="49"/>
        <v>0.331195876328705</v>
      </c>
      <c r="S320" s="16">
        <v>12</v>
      </c>
    </row>
    <row r="321" spans="1:19">
      <c r="A321" s="5" t="s">
        <v>256</v>
      </c>
      <c r="B321" s="6">
        <v>1020</v>
      </c>
      <c r="C321" s="6">
        <v>9.64</v>
      </c>
      <c r="D321" s="6">
        <v>3060</v>
      </c>
      <c r="E321" s="6">
        <v>336</v>
      </c>
      <c r="F321" s="6">
        <v>16.9</v>
      </c>
      <c r="G321" s="5"/>
      <c r="H321" s="6">
        <v>30000</v>
      </c>
      <c r="I321" s="14">
        <f t="shared" si="40"/>
        <v>817128.249198705</v>
      </c>
      <c r="J321" s="15">
        <f t="shared" si="41"/>
        <v>30598.7052955566</v>
      </c>
      <c r="K321" s="15">
        <f t="shared" si="42"/>
        <v>786529.543903148</v>
      </c>
      <c r="L321" s="15">
        <f t="shared" si="43"/>
        <v>0.0374466374471357</v>
      </c>
      <c r="M321" s="15">
        <f t="shared" si="44"/>
        <v>0.0389034404781678</v>
      </c>
      <c r="N321" s="16">
        <f t="shared" si="45"/>
        <v>105.809128630705</v>
      </c>
      <c r="O321" s="16">
        <f t="shared" si="46"/>
        <v>10281164.979307</v>
      </c>
      <c r="P321" s="16">
        <f t="shared" si="47"/>
        <v>13292349.2919632</v>
      </c>
      <c r="Q321" s="16">
        <f t="shared" si="48"/>
        <v>19.8816568047337</v>
      </c>
      <c r="R321" s="16">
        <f t="shared" si="49"/>
        <v>0.773464852110319</v>
      </c>
      <c r="S321" s="16">
        <v>12</v>
      </c>
    </row>
    <row r="322" spans="1:19">
      <c r="A322" s="5" t="s">
        <v>257</v>
      </c>
      <c r="B322" s="6">
        <v>1020</v>
      </c>
      <c r="C322" s="6">
        <v>13.25</v>
      </c>
      <c r="D322" s="6">
        <v>3060</v>
      </c>
      <c r="E322" s="6">
        <v>368.7</v>
      </c>
      <c r="F322" s="6">
        <v>28.9</v>
      </c>
      <c r="G322" s="5"/>
      <c r="H322" s="6">
        <v>46000</v>
      </c>
      <c r="I322" s="14">
        <f t="shared" si="40"/>
        <v>817128.249198705</v>
      </c>
      <c r="J322" s="15">
        <f t="shared" si="41"/>
        <v>41907.0788530202</v>
      </c>
      <c r="K322" s="15">
        <f t="shared" si="42"/>
        <v>775221.170345685</v>
      </c>
      <c r="L322" s="15">
        <f t="shared" si="43"/>
        <v>0.0512858035371011</v>
      </c>
      <c r="M322" s="15">
        <f t="shared" si="44"/>
        <v>0.0540582229382785</v>
      </c>
      <c r="N322" s="16">
        <f t="shared" si="45"/>
        <v>76.9811320754717</v>
      </c>
      <c r="O322" s="16">
        <f t="shared" si="46"/>
        <v>15451139.9731085</v>
      </c>
      <c r="P322" s="16">
        <f t="shared" si="47"/>
        <v>22403891.8229903</v>
      </c>
      <c r="Q322" s="16">
        <f t="shared" si="48"/>
        <v>12.757785467128</v>
      </c>
      <c r="R322" s="16">
        <f t="shared" si="49"/>
        <v>0.689663210980736</v>
      </c>
      <c r="S322" s="16">
        <v>12</v>
      </c>
    </row>
    <row r="323" spans="1:19">
      <c r="A323" s="5" t="s">
        <v>258</v>
      </c>
      <c r="B323" s="6">
        <v>323.9</v>
      </c>
      <c r="C323" s="6">
        <v>5.6</v>
      </c>
      <c r="D323" s="6">
        <v>1000</v>
      </c>
      <c r="E323" s="6">
        <v>443.9</v>
      </c>
      <c r="F323" s="6">
        <v>92.3</v>
      </c>
      <c r="G323" s="5" t="s">
        <v>20</v>
      </c>
      <c r="H323" s="6">
        <v>11481</v>
      </c>
      <c r="I323" s="14">
        <f t="shared" ref="I323:I386" si="50">(PI()*B323^2)/4</f>
        <v>82397.071653804</v>
      </c>
      <c r="J323" s="15">
        <f t="shared" ref="J323:J386" si="51">(PI()*(B323^2-(B323-2*C323)^2))/4</f>
        <v>5599.82607317073</v>
      </c>
      <c r="K323" s="15">
        <f t="shared" ref="K323:K386" si="52">(PI()*(B323-2*C323)^2)/4</f>
        <v>76797.2455806333</v>
      </c>
      <c r="L323" s="15">
        <f t="shared" ref="L323:L386" si="53">J323/I323</f>
        <v>0.0679614695131245</v>
      </c>
      <c r="M323" s="15">
        <f t="shared" ref="M323:M386" si="54">J323/K323</f>
        <v>0.0729170171512362</v>
      </c>
      <c r="N323" s="16">
        <f t="shared" ref="N323:N386" si="55">B323/C323</f>
        <v>57.8392857142857</v>
      </c>
      <c r="O323" s="16">
        <f t="shared" ref="O323:O386" si="56">J323*E323</f>
        <v>2485762.79388049</v>
      </c>
      <c r="P323" s="16">
        <f t="shared" ref="P323:P386" si="57">K323*F323</f>
        <v>7088385.76709245</v>
      </c>
      <c r="Q323" s="16">
        <f t="shared" ref="Q323:Q386" si="58">E323/F323</f>
        <v>4.80931744312026</v>
      </c>
      <c r="R323" s="16">
        <f t="shared" ref="R323:R386" si="59">O323/P323</f>
        <v>0.350681082485739</v>
      </c>
      <c r="S323" s="16">
        <v>12.3494905835134</v>
      </c>
    </row>
    <row r="324" spans="1:19">
      <c r="A324" s="5" t="s">
        <v>259</v>
      </c>
      <c r="B324" s="6">
        <v>190</v>
      </c>
      <c r="C324" s="6">
        <v>1.11</v>
      </c>
      <c r="D324" s="6">
        <v>662</v>
      </c>
      <c r="E324" s="6">
        <v>203.1</v>
      </c>
      <c r="F324" s="6">
        <v>110.3</v>
      </c>
      <c r="G324" s="5" t="s">
        <v>20</v>
      </c>
      <c r="H324" s="6">
        <v>3030</v>
      </c>
      <c r="I324" s="14">
        <f t="shared" si="50"/>
        <v>28352.8736986479</v>
      </c>
      <c r="J324" s="15">
        <f t="shared" si="51"/>
        <v>658.691134333601</v>
      </c>
      <c r="K324" s="15">
        <f t="shared" si="52"/>
        <v>27694.1825643143</v>
      </c>
      <c r="L324" s="15">
        <f t="shared" si="53"/>
        <v>0.0232319002770084</v>
      </c>
      <c r="M324" s="15">
        <f t="shared" si="54"/>
        <v>0.0237844584437154</v>
      </c>
      <c r="N324" s="16">
        <f t="shared" si="55"/>
        <v>171.171171171171</v>
      </c>
      <c r="O324" s="16">
        <f t="shared" si="56"/>
        <v>133780.169383154</v>
      </c>
      <c r="P324" s="16">
        <f t="shared" si="57"/>
        <v>3054668.33684387</v>
      </c>
      <c r="Q324" s="16">
        <f t="shared" si="58"/>
        <v>1.84134179510426</v>
      </c>
      <c r="R324" s="16">
        <f t="shared" si="59"/>
        <v>0.0437953174063336</v>
      </c>
      <c r="S324" s="16">
        <v>13.9368421052632</v>
      </c>
    </row>
    <row r="325" spans="1:19">
      <c r="A325" s="5" t="s">
        <v>260</v>
      </c>
      <c r="B325" s="6">
        <v>190</v>
      </c>
      <c r="C325" s="6">
        <v>1.11</v>
      </c>
      <c r="D325" s="6">
        <v>656</v>
      </c>
      <c r="E325" s="6">
        <v>203.1</v>
      </c>
      <c r="F325" s="6">
        <v>110.3</v>
      </c>
      <c r="G325" s="5" t="s">
        <v>20</v>
      </c>
      <c r="H325" s="6">
        <v>2940</v>
      </c>
      <c r="I325" s="14">
        <f t="shared" si="50"/>
        <v>28352.8736986479</v>
      </c>
      <c r="J325" s="15">
        <f t="shared" si="51"/>
        <v>658.691134333601</v>
      </c>
      <c r="K325" s="15">
        <f t="shared" si="52"/>
        <v>27694.1825643143</v>
      </c>
      <c r="L325" s="15">
        <f t="shared" si="53"/>
        <v>0.0232319002770084</v>
      </c>
      <c r="M325" s="15">
        <f t="shared" si="54"/>
        <v>0.0237844584437154</v>
      </c>
      <c r="N325" s="16">
        <f t="shared" si="55"/>
        <v>171.171171171171</v>
      </c>
      <c r="O325" s="16">
        <f t="shared" si="56"/>
        <v>133780.169383154</v>
      </c>
      <c r="P325" s="16">
        <f t="shared" si="57"/>
        <v>3054668.33684387</v>
      </c>
      <c r="Q325" s="16">
        <f t="shared" si="58"/>
        <v>1.84134179510426</v>
      </c>
      <c r="R325" s="16">
        <f t="shared" si="59"/>
        <v>0.0437953174063336</v>
      </c>
      <c r="S325" s="16">
        <v>13.8105263157895</v>
      </c>
    </row>
    <row r="326" spans="1:19">
      <c r="A326" s="5" t="s">
        <v>261</v>
      </c>
      <c r="B326" s="6">
        <v>190</v>
      </c>
      <c r="C326" s="6">
        <v>1.11</v>
      </c>
      <c r="D326" s="6">
        <v>662</v>
      </c>
      <c r="E326" s="6">
        <v>203.1</v>
      </c>
      <c r="F326" s="6">
        <v>110.3</v>
      </c>
      <c r="G326" s="5" t="s">
        <v>20</v>
      </c>
      <c r="H326" s="6">
        <v>3140</v>
      </c>
      <c r="I326" s="14">
        <f t="shared" si="50"/>
        <v>28352.8736986479</v>
      </c>
      <c r="J326" s="15">
        <f t="shared" si="51"/>
        <v>658.691134333601</v>
      </c>
      <c r="K326" s="15">
        <f t="shared" si="52"/>
        <v>27694.1825643143</v>
      </c>
      <c r="L326" s="15">
        <f t="shared" si="53"/>
        <v>0.0232319002770084</v>
      </c>
      <c r="M326" s="15">
        <f t="shared" si="54"/>
        <v>0.0237844584437154</v>
      </c>
      <c r="N326" s="16">
        <f t="shared" si="55"/>
        <v>171.171171171171</v>
      </c>
      <c r="O326" s="16">
        <f t="shared" si="56"/>
        <v>133780.169383154</v>
      </c>
      <c r="P326" s="16">
        <f t="shared" si="57"/>
        <v>3054668.33684387</v>
      </c>
      <c r="Q326" s="16">
        <f t="shared" si="58"/>
        <v>1.84134179510426</v>
      </c>
      <c r="R326" s="16">
        <f t="shared" si="59"/>
        <v>0.0437953174063336</v>
      </c>
      <c r="S326" s="16">
        <v>13.9368421052632</v>
      </c>
    </row>
    <row r="327" spans="1:19">
      <c r="A327" s="5" t="s">
        <v>262</v>
      </c>
      <c r="B327" s="6">
        <v>190</v>
      </c>
      <c r="C327" s="6">
        <v>1.11</v>
      </c>
      <c r="D327" s="6">
        <v>662</v>
      </c>
      <c r="E327" s="6">
        <v>203.1</v>
      </c>
      <c r="F327" s="6">
        <v>94.7</v>
      </c>
      <c r="G327" s="5" t="s">
        <v>20</v>
      </c>
      <c r="H327" s="6">
        <v>2462</v>
      </c>
      <c r="I327" s="14">
        <f t="shared" si="50"/>
        <v>28352.8736986479</v>
      </c>
      <c r="J327" s="15">
        <f t="shared" si="51"/>
        <v>658.691134333601</v>
      </c>
      <c r="K327" s="15">
        <f t="shared" si="52"/>
        <v>27694.1825643143</v>
      </c>
      <c r="L327" s="15">
        <f t="shared" si="53"/>
        <v>0.0232319002770084</v>
      </c>
      <c r="M327" s="15">
        <f t="shared" si="54"/>
        <v>0.0237844584437154</v>
      </c>
      <c r="N327" s="16">
        <f t="shared" si="55"/>
        <v>171.171171171171</v>
      </c>
      <c r="O327" s="16">
        <f t="shared" si="56"/>
        <v>133780.169383154</v>
      </c>
      <c r="P327" s="16">
        <f t="shared" si="57"/>
        <v>2622639.08884056</v>
      </c>
      <c r="Q327" s="16">
        <f t="shared" si="58"/>
        <v>2.14466737064414</v>
      </c>
      <c r="R327" s="16">
        <f t="shared" si="59"/>
        <v>0.0510097519526779</v>
      </c>
      <c r="S327" s="16">
        <v>13.9368421052632</v>
      </c>
    </row>
    <row r="328" spans="1:19">
      <c r="A328" s="5" t="s">
        <v>263</v>
      </c>
      <c r="B328" s="6">
        <v>190</v>
      </c>
      <c r="C328" s="6">
        <v>1.11</v>
      </c>
      <c r="D328" s="6">
        <v>664</v>
      </c>
      <c r="E328" s="6">
        <v>203.1</v>
      </c>
      <c r="F328" s="6">
        <v>110.3</v>
      </c>
      <c r="G328" s="5" t="s">
        <v>20</v>
      </c>
      <c r="H328" s="6">
        <v>3055</v>
      </c>
      <c r="I328" s="14">
        <f t="shared" si="50"/>
        <v>28352.8736986479</v>
      </c>
      <c r="J328" s="15">
        <f t="shared" si="51"/>
        <v>658.691134333601</v>
      </c>
      <c r="K328" s="15">
        <f t="shared" si="52"/>
        <v>27694.1825643143</v>
      </c>
      <c r="L328" s="15">
        <f t="shared" si="53"/>
        <v>0.0232319002770084</v>
      </c>
      <c r="M328" s="15">
        <f t="shared" si="54"/>
        <v>0.0237844584437154</v>
      </c>
      <c r="N328" s="16">
        <f t="shared" si="55"/>
        <v>171.171171171171</v>
      </c>
      <c r="O328" s="16">
        <f t="shared" si="56"/>
        <v>133780.169383154</v>
      </c>
      <c r="P328" s="16">
        <f t="shared" si="57"/>
        <v>3054668.33684387</v>
      </c>
      <c r="Q328" s="16">
        <f t="shared" si="58"/>
        <v>1.84134179510426</v>
      </c>
      <c r="R328" s="16">
        <f t="shared" si="59"/>
        <v>0.0437953174063336</v>
      </c>
      <c r="S328" s="16">
        <v>13.9789473684211</v>
      </c>
    </row>
    <row r="329" spans="1:19">
      <c r="A329" s="5" t="s">
        <v>264</v>
      </c>
      <c r="B329" s="6">
        <v>190</v>
      </c>
      <c r="C329" s="6">
        <v>1.11</v>
      </c>
      <c r="D329" s="6">
        <v>660</v>
      </c>
      <c r="E329" s="6">
        <v>203.1</v>
      </c>
      <c r="F329" s="6">
        <v>110.3</v>
      </c>
      <c r="G329" s="5" t="s">
        <v>20</v>
      </c>
      <c r="H329" s="6">
        <v>3000</v>
      </c>
      <c r="I329" s="14">
        <f t="shared" si="50"/>
        <v>28352.8736986479</v>
      </c>
      <c r="J329" s="15">
        <f t="shared" si="51"/>
        <v>658.691134333601</v>
      </c>
      <c r="K329" s="15">
        <f t="shared" si="52"/>
        <v>27694.1825643143</v>
      </c>
      <c r="L329" s="15">
        <f t="shared" si="53"/>
        <v>0.0232319002770084</v>
      </c>
      <c r="M329" s="15">
        <f t="shared" si="54"/>
        <v>0.0237844584437154</v>
      </c>
      <c r="N329" s="16">
        <f t="shared" si="55"/>
        <v>171.171171171171</v>
      </c>
      <c r="O329" s="16">
        <f t="shared" si="56"/>
        <v>133780.169383154</v>
      </c>
      <c r="P329" s="16">
        <f t="shared" si="57"/>
        <v>3054668.33684387</v>
      </c>
      <c r="Q329" s="16">
        <f t="shared" si="58"/>
        <v>1.84134179510426</v>
      </c>
      <c r="R329" s="16">
        <f t="shared" si="59"/>
        <v>0.0437953174063336</v>
      </c>
      <c r="S329" s="16">
        <v>13.8947368421053</v>
      </c>
    </row>
    <row r="330" spans="1:19">
      <c r="A330" s="5" t="s">
        <v>85</v>
      </c>
      <c r="B330" s="6">
        <v>165</v>
      </c>
      <c r="C330" s="6">
        <v>2.82</v>
      </c>
      <c r="D330" s="6">
        <v>580.5</v>
      </c>
      <c r="E330" s="6">
        <v>363.3</v>
      </c>
      <c r="F330" s="6">
        <v>48.3</v>
      </c>
      <c r="G330" s="5" t="s">
        <v>20</v>
      </c>
      <c r="H330" s="6">
        <v>1662</v>
      </c>
      <c r="I330" s="14">
        <f t="shared" si="50"/>
        <v>21382.4649984955</v>
      </c>
      <c r="J330" s="15">
        <f t="shared" si="51"/>
        <v>1436.79986029692</v>
      </c>
      <c r="K330" s="15">
        <f t="shared" si="52"/>
        <v>19945.6651381986</v>
      </c>
      <c r="L330" s="15">
        <f t="shared" si="53"/>
        <v>0.0671952396694214</v>
      </c>
      <c r="M330" s="15">
        <f t="shared" si="54"/>
        <v>0.0720356954928145</v>
      </c>
      <c r="N330" s="16">
        <f t="shared" si="55"/>
        <v>58.5106382978723</v>
      </c>
      <c r="O330" s="16">
        <f t="shared" si="56"/>
        <v>521989.389245871</v>
      </c>
      <c r="P330" s="16">
        <f t="shared" si="57"/>
        <v>963375.626174993</v>
      </c>
      <c r="Q330" s="16">
        <f t="shared" si="58"/>
        <v>7.52173913043478</v>
      </c>
      <c r="R330" s="16">
        <f t="shared" si="59"/>
        <v>0.541833709576387</v>
      </c>
      <c r="S330" s="16">
        <v>14.0727272727273</v>
      </c>
    </row>
    <row r="331" spans="1:19">
      <c r="A331" s="5" t="s">
        <v>86</v>
      </c>
      <c r="B331" s="6">
        <v>190</v>
      </c>
      <c r="C331" s="6">
        <v>1.94</v>
      </c>
      <c r="D331" s="6">
        <v>663.5</v>
      </c>
      <c r="E331" s="6">
        <v>256.4</v>
      </c>
      <c r="F331" s="6">
        <v>41</v>
      </c>
      <c r="G331" s="5" t="s">
        <v>20</v>
      </c>
      <c r="H331" s="6">
        <v>1678</v>
      </c>
      <c r="I331" s="14">
        <f t="shared" si="50"/>
        <v>28352.8736986479</v>
      </c>
      <c r="J331" s="15">
        <f t="shared" si="51"/>
        <v>1146.16735400215</v>
      </c>
      <c r="K331" s="15">
        <f t="shared" si="52"/>
        <v>27206.7063446457</v>
      </c>
      <c r="L331" s="15">
        <f t="shared" si="53"/>
        <v>0.0404250858725762</v>
      </c>
      <c r="M331" s="15">
        <f t="shared" si="54"/>
        <v>0.0421281186881966</v>
      </c>
      <c r="N331" s="16">
        <f t="shared" si="55"/>
        <v>97.9381443298969</v>
      </c>
      <c r="O331" s="16">
        <f t="shared" si="56"/>
        <v>293877.309566151</v>
      </c>
      <c r="P331" s="16">
        <f t="shared" si="57"/>
        <v>1115474.96013048</v>
      </c>
      <c r="Q331" s="16">
        <f t="shared" si="58"/>
        <v>6.25365853658537</v>
      </c>
      <c r="R331" s="16">
        <f t="shared" si="59"/>
        <v>0.263454869064722</v>
      </c>
      <c r="S331" s="16">
        <v>13.9684210526316</v>
      </c>
    </row>
    <row r="332" spans="1:19">
      <c r="A332" s="5" t="s">
        <v>87</v>
      </c>
      <c r="B332" s="6">
        <v>190</v>
      </c>
      <c r="C332" s="6">
        <v>1.52</v>
      </c>
      <c r="D332" s="6">
        <v>664.5</v>
      </c>
      <c r="E332" s="6">
        <v>306.1</v>
      </c>
      <c r="F332" s="6">
        <v>48.3</v>
      </c>
      <c r="G332" s="5" t="s">
        <v>20</v>
      </c>
      <c r="H332" s="6">
        <v>1695</v>
      </c>
      <c r="I332" s="14">
        <f t="shared" si="50"/>
        <v>28352.8736986479</v>
      </c>
      <c r="J332" s="15">
        <f t="shared" si="51"/>
        <v>900.033622689875</v>
      </c>
      <c r="K332" s="15">
        <f t="shared" si="52"/>
        <v>27452.840075958</v>
      </c>
      <c r="L332" s="15">
        <f t="shared" si="53"/>
        <v>0.0317439999999999</v>
      </c>
      <c r="M332" s="15">
        <f t="shared" si="54"/>
        <v>0.0327847180910832</v>
      </c>
      <c r="N332" s="16">
        <f t="shared" si="55"/>
        <v>125</v>
      </c>
      <c r="O332" s="16">
        <f t="shared" si="56"/>
        <v>275500.291905371</v>
      </c>
      <c r="P332" s="16">
        <f t="shared" si="57"/>
        <v>1325972.17566877</v>
      </c>
      <c r="Q332" s="16">
        <f t="shared" si="58"/>
        <v>6.33747412008282</v>
      </c>
      <c r="R332" s="16">
        <f t="shared" si="59"/>
        <v>0.207772302436451</v>
      </c>
      <c r="S332" s="16">
        <v>13.9894736842105</v>
      </c>
    </row>
    <row r="333" spans="1:19">
      <c r="A333" s="5" t="s">
        <v>88</v>
      </c>
      <c r="B333" s="6">
        <v>190</v>
      </c>
      <c r="C333" s="6">
        <v>1.13</v>
      </c>
      <c r="D333" s="7">
        <v>664.5</v>
      </c>
      <c r="E333" s="7">
        <v>185.7</v>
      </c>
      <c r="F333" s="6">
        <v>41</v>
      </c>
      <c r="G333" s="5" t="s">
        <v>20</v>
      </c>
      <c r="H333" s="6">
        <v>1377</v>
      </c>
      <c r="I333" s="14">
        <f t="shared" si="50"/>
        <v>28352.8736986479</v>
      </c>
      <c r="J333" s="15">
        <f t="shared" si="51"/>
        <v>670.48844306636</v>
      </c>
      <c r="K333" s="15">
        <f t="shared" si="52"/>
        <v>27682.3852555815</v>
      </c>
      <c r="L333" s="15">
        <f t="shared" si="53"/>
        <v>0.0236479889196676</v>
      </c>
      <c r="M333" s="15">
        <f t="shared" si="54"/>
        <v>0.0242207612124454</v>
      </c>
      <c r="N333" s="16">
        <f t="shared" si="55"/>
        <v>168.141592920354</v>
      </c>
      <c r="O333" s="16">
        <f t="shared" si="56"/>
        <v>124509.703877423</v>
      </c>
      <c r="P333" s="16">
        <f t="shared" si="57"/>
        <v>1134977.79547884</v>
      </c>
      <c r="Q333" s="16">
        <f t="shared" si="58"/>
        <v>4.52926829268293</v>
      </c>
      <c r="R333" s="16">
        <f t="shared" si="59"/>
        <v>0.109702325784173</v>
      </c>
      <c r="S333" s="16">
        <v>13.9894736842105</v>
      </c>
    </row>
    <row r="334" spans="1:19">
      <c r="A334" s="5" t="s">
        <v>89</v>
      </c>
      <c r="B334" s="6">
        <v>190</v>
      </c>
      <c r="C334" s="6">
        <v>0.86</v>
      </c>
      <c r="D334" s="7">
        <v>659</v>
      </c>
      <c r="E334" s="7">
        <v>210.7</v>
      </c>
      <c r="F334" s="6">
        <v>41</v>
      </c>
      <c r="G334" s="5" t="s">
        <v>20</v>
      </c>
      <c r="H334" s="6">
        <v>1350</v>
      </c>
      <c r="I334" s="14">
        <f t="shared" si="50"/>
        <v>28352.8736986479</v>
      </c>
      <c r="J334" s="15">
        <f t="shared" si="51"/>
        <v>511.012717669979</v>
      </c>
      <c r="K334" s="15">
        <f t="shared" si="52"/>
        <v>27841.8609809779</v>
      </c>
      <c r="L334" s="15">
        <f t="shared" si="53"/>
        <v>0.0180233130193907</v>
      </c>
      <c r="M334" s="15">
        <f t="shared" si="54"/>
        <v>0.0183541149788483</v>
      </c>
      <c r="N334" s="16">
        <f t="shared" si="55"/>
        <v>220.93023255814</v>
      </c>
      <c r="O334" s="16">
        <f t="shared" si="56"/>
        <v>107670.379613065</v>
      </c>
      <c r="P334" s="16">
        <f t="shared" si="57"/>
        <v>1141516.30022009</v>
      </c>
      <c r="Q334" s="16">
        <f t="shared" si="58"/>
        <v>5.1390243902439</v>
      </c>
      <c r="R334" s="16">
        <f t="shared" si="59"/>
        <v>0.0943222445376425</v>
      </c>
      <c r="S334" s="16">
        <v>13.8736842105263</v>
      </c>
    </row>
    <row r="335" spans="1:19">
      <c r="A335" s="5" t="s">
        <v>90</v>
      </c>
      <c r="B335" s="6">
        <v>165</v>
      </c>
      <c r="C335" s="6">
        <v>2.82</v>
      </c>
      <c r="D335" s="7">
        <v>580.5</v>
      </c>
      <c r="E335" s="7">
        <v>363.3</v>
      </c>
      <c r="F335" s="6">
        <v>80.2</v>
      </c>
      <c r="G335" s="5" t="s">
        <v>20</v>
      </c>
      <c r="H335" s="6">
        <v>2295</v>
      </c>
      <c r="I335" s="14">
        <f t="shared" si="50"/>
        <v>21382.4649984955</v>
      </c>
      <c r="J335" s="15">
        <f t="shared" si="51"/>
        <v>1436.79986029692</v>
      </c>
      <c r="K335" s="15">
        <f t="shared" si="52"/>
        <v>19945.6651381986</v>
      </c>
      <c r="L335" s="15">
        <f t="shared" si="53"/>
        <v>0.0671952396694214</v>
      </c>
      <c r="M335" s="15">
        <f t="shared" si="54"/>
        <v>0.0720356954928145</v>
      </c>
      <c r="N335" s="16">
        <f t="shared" si="55"/>
        <v>58.5106382978723</v>
      </c>
      <c r="O335" s="16">
        <f t="shared" si="56"/>
        <v>521989.389245871</v>
      </c>
      <c r="P335" s="16">
        <f t="shared" si="57"/>
        <v>1599642.34408353</v>
      </c>
      <c r="Q335" s="16">
        <f t="shared" si="58"/>
        <v>4.52992518703242</v>
      </c>
      <c r="R335" s="16">
        <f t="shared" si="59"/>
        <v>0.326316311378298</v>
      </c>
      <c r="S335" s="16">
        <v>14.0727272727273</v>
      </c>
    </row>
    <row r="336" spans="1:19">
      <c r="A336" s="5" t="s">
        <v>91</v>
      </c>
      <c r="B336" s="6">
        <v>190</v>
      </c>
      <c r="C336" s="6">
        <v>1.94</v>
      </c>
      <c r="D336" s="7">
        <v>663.5</v>
      </c>
      <c r="E336" s="7">
        <v>256.4</v>
      </c>
      <c r="F336" s="6">
        <v>74.7</v>
      </c>
      <c r="G336" s="5" t="s">
        <v>20</v>
      </c>
      <c r="H336" s="6">
        <v>2592</v>
      </c>
      <c r="I336" s="14">
        <f t="shared" si="50"/>
        <v>28352.8736986479</v>
      </c>
      <c r="J336" s="15">
        <f t="shared" si="51"/>
        <v>1146.16735400215</v>
      </c>
      <c r="K336" s="15">
        <f t="shared" si="52"/>
        <v>27206.7063446457</v>
      </c>
      <c r="L336" s="15">
        <f t="shared" si="53"/>
        <v>0.0404250858725762</v>
      </c>
      <c r="M336" s="15">
        <f t="shared" si="54"/>
        <v>0.0421281186881966</v>
      </c>
      <c r="N336" s="16">
        <f t="shared" si="55"/>
        <v>97.9381443298969</v>
      </c>
      <c r="O336" s="16">
        <f t="shared" si="56"/>
        <v>293877.309566151</v>
      </c>
      <c r="P336" s="16">
        <f t="shared" si="57"/>
        <v>2032340.96394504</v>
      </c>
      <c r="Q336" s="16">
        <f t="shared" si="58"/>
        <v>3.43239625167336</v>
      </c>
      <c r="R336" s="16">
        <f t="shared" si="59"/>
        <v>0.144600396675417</v>
      </c>
      <c r="S336" s="16">
        <v>13.9684210526316</v>
      </c>
    </row>
    <row r="337" spans="1:19">
      <c r="A337" s="5" t="s">
        <v>92</v>
      </c>
      <c r="B337" s="6">
        <v>190</v>
      </c>
      <c r="C337" s="6">
        <v>1.52</v>
      </c>
      <c r="D337" s="7">
        <v>663.5</v>
      </c>
      <c r="E337" s="7">
        <v>306.1</v>
      </c>
      <c r="F337" s="6">
        <v>80.2</v>
      </c>
      <c r="G337" s="5" t="s">
        <v>20</v>
      </c>
      <c r="H337" s="6">
        <v>2602</v>
      </c>
      <c r="I337" s="14">
        <f t="shared" si="50"/>
        <v>28352.8736986479</v>
      </c>
      <c r="J337" s="15">
        <f t="shared" si="51"/>
        <v>900.033622689875</v>
      </c>
      <c r="K337" s="15">
        <f t="shared" si="52"/>
        <v>27452.840075958</v>
      </c>
      <c r="L337" s="15">
        <f t="shared" si="53"/>
        <v>0.0317439999999999</v>
      </c>
      <c r="M337" s="15">
        <f t="shared" si="54"/>
        <v>0.0327847180910832</v>
      </c>
      <c r="N337" s="16">
        <f t="shared" si="55"/>
        <v>125</v>
      </c>
      <c r="O337" s="16">
        <f t="shared" si="56"/>
        <v>275500.291905371</v>
      </c>
      <c r="P337" s="16">
        <f t="shared" si="57"/>
        <v>2201717.77409183</v>
      </c>
      <c r="Q337" s="16">
        <f t="shared" si="58"/>
        <v>3.81670822942643</v>
      </c>
      <c r="R337" s="16">
        <f t="shared" si="59"/>
        <v>0.125129703337663</v>
      </c>
      <c r="S337" s="16">
        <v>13.9684210526316</v>
      </c>
    </row>
    <row r="338" spans="1:19">
      <c r="A338" s="5" t="s">
        <v>93</v>
      </c>
      <c r="B338" s="6">
        <v>190</v>
      </c>
      <c r="C338" s="6">
        <v>1.13</v>
      </c>
      <c r="D338" s="7">
        <v>662.5</v>
      </c>
      <c r="E338" s="7">
        <v>185.7</v>
      </c>
      <c r="F338" s="6">
        <v>80.2</v>
      </c>
      <c r="G338" s="5" t="s">
        <v>20</v>
      </c>
      <c r="H338" s="6">
        <v>2295</v>
      </c>
      <c r="I338" s="14">
        <f t="shared" si="50"/>
        <v>28352.8736986479</v>
      </c>
      <c r="J338" s="15">
        <f t="shared" si="51"/>
        <v>670.48844306636</v>
      </c>
      <c r="K338" s="15">
        <f t="shared" si="52"/>
        <v>27682.3852555815</v>
      </c>
      <c r="L338" s="15">
        <f t="shared" si="53"/>
        <v>0.0236479889196676</v>
      </c>
      <c r="M338" s="15">
        <f t="shared" si="54"/>
        <v>0.0242207612124454</v>
      </c>
      <c r="N338" s="16">
        <f t="shared" si="55"/>
        <v>168.141592920354</v>
      </c>
      <c r="O338" s="16">
        <f t="shared" si="56"/>
        <v>124509.703877423</v>
      </c>
      <c r="P338" s="16">
        <f t="shared" si="57"/>
        <v>2220127.29749764</v>
      </c>
      <c r="Q338" s="16">
        <f t="shared" si="58"/>
        <v>2.31546134663342</v>
      </c>
      <c r="R338" s="16">
        <f t="shared" si="59"/>
        <v>0.0560822363734553</v>
      </c>
      <c r="S338" s="16">
        <v>13.9473684210526</v>
      </c>
    </row>
    <row r="339" spans="1:19">
      <c r="A339" s="5" t="s">
        <v>94</v>
      </c>
      <c r="B339" s="6">
        <v>190</v>
      </c>
      <c r="C339" s="6">
        <v>0.86</v>
      </c>
      <c r="D339" s="7">
        <v>663.5</v>
      </c>
      <c r="E339" s="7">
        <v>210.7</v>
      </c>
      <c r="F339" s="6">
        <v>74.7</v>
      </c>
      <c r="G339" s="5" t="s">
        <v>20</v>
      </c>
      <c r="H339" s="6">
        <v>2451</v>
      </c>
      <c r="I339" s="14">
        <f t="shared" si="50"/>
        <v>28352.8736986479</v>
      </c>
      <c r="J339" s="15">
        <f t="shared" si="51"/>
        <v>511.012717669979</v>
      </c>
      <c r="K339" s="15">
        <f t="shared" si="52"/>
        <v>27841.8609809779</v>
      </c>
      <c r="L339" s="15">
        <f t="shared" si="53"/>
        <v>0.0180233130193907</v>
      </c>
      <c r="M339" s="15">
        <f t="shared" si="54"/>
        <v>0.0183541149788483</v>
      </c>
      <c r="N339" s="16">
        <f t="shared" si="55"/>
        <v>220.93023255814</v>
      </c>
      <c r="O339" s="16">
        <f t="shared" si="56"/>
        <v>107670.379613065</v>
      </c>
      <c r="P339" s="16">
        <f t="shared" si="57"/>
        <v>2079787.01527905</v>
      </c>
      <c r="Q339" s="16">
        <f t="shared" si="58"/>
        <v>2.82061579651941</v>
      </c>
      <c r="R339" s="16">
        <f t="shared" si="59"/>
        <v>0.0517699066404731</v>
      </c>
      <c r="S339" s="16">
        <v>13.9684210526316</v>
      </c>
    </row>
    <row r="340" spans="1:19">
      <c r="A340" s="5" t="s">
        <v>95</v>
      </c>
      <c r="B340" s="6">
        <v>165</v>
      </c>
      <c r="C340" s="6">
        <v>2.82</v>
      </c>
      <c r="D340" s="6">
        <v>577.5</v>
      </c>
      <c r="E340" s="6">
        <v>363.3</v>
      </c>
      <c r="F340" s="6">
        <v>108</v>
      </c>
      <c r="G340" s="5" t="s">
        <v>20</v>
      </c>
      <c r="H340" s="6">
        <v>2673</v>
      </c>
      <c r="I340" s="14">
        <f t="shared" si="50"/>
        <v>21382.4649984955</v>
      </c>
      <c r="J340" s="15">
        <f t="shared" si="51"/>
        <v>1436.79986029692</v>
      </c>
      <c r="K340" s="15">
        <f t="shared" si="52"/>
        <v>19945.6651381986</v>
      </c>
      <c r="L340" s="15">
        <f t="shared" si="53"/>
        <v>0.0671952396694214</v>
      </c>
      <c r="M340" s="15">
        <f t="shared" si="54"/>
        <v>0.0720356954928145</v>
      </c>
      <c r="N340" s="16">
        <f t="shared" si="55"/>
        <v>58.5106382978723</v>
      </c>
      <c r="O340" s="16">
        <f t="shared" si="56"/>
        <v>521989.389245871</v>
      </c>
      <c r="P340" s="16">
        <f t="shared" si="57"/>
        <v>2154131.83492545</v>
      </c>
      <c r="Q340" s="16">
        <f t="shared" si="58"/>
        <v>3.36388888888889</v>
      </c>
      <c r="R340" s="16">
        <f t="shared" si="59"/>
        <v>0.242320075671662</v>
      </c>
      <c r="S340" s="16">
        <v>14</v>
      </c>
    </row>
    <row r="341" spans="1:19">
      <c r="A341" s="5" t="s">
        <v>96</v>
      </c>
      <c r="B341" s="6">
        <v>190</v>
      </c>
      <c r="C341" s="6">
        <v>1.94</v>
      </c>
      <c r="D341" s="6">
        <v>660</v>
      </c>
      <c r="E341" s="6">
        <v>256.4</v>
      </c>
      <c r="F341" s="6">
        <v>108</v>
      </c>
      <c r="G341" s="5" t="s">
        <v>20</v>
      </c>
      <c r="H341" s="6">
        <v>3360</v>
      </c>
      <c r="I341" s="14">
        <f t="shared" si="50"/>
        <v>28352.8736986479</v>
      </c>
      <c r="J341" s="15">
        <f t="shared" si="51"/>
        <v>1146.16735400215</v>
      </c>
      <c r="K341" s="15">
        <f t="shared" si="52"/>
        <v>27206.7063446457</v>
      </c>
      <c r="L341" s="15">
        <f t="shared" si="53"/>
        <v>0.0404250858725762</v>
      </c>
      <c r="M341" s="15">
        <f t="shared" si="54"/>
        <v>0.0421281186881966</v>
      </c>
      <c r="N341" s="16">
        <f t="shared" si="55"/>
        <v>97.9381443298969</v>
      </c>
      <c r="O341" s="16">
        <f t="shared" si="56"/>
        <v>293877.309566151</v>
      </c>
      <c r="P341" s="16">
        <f t="shared" si="57"/>
        <v>2938324.28522174</v>
      </c>
      <c r="Q341" s="16">
        <f t="shared" si="58"/>
        <v>2.37407407407407</v>
      </c>
      <c r="R341" s="16">
        <f t="shared" si="59"/>
        <v>0.100015274367163</v>
      </c>
      <c r="S341" s="16">
        <v>13.8947368421053</v>
      </c>
    </row>
    <row r="342" spans="1:19">
      <c r="A342" s="5" t="s">
        <v>97</v>
      </c>
      <c r="B342" s="6">
        <v>190</v>
      </c>
      <c r="C342" s="6">
        <v>1.52</v>
      </c>
      <c r="D342" s="6">
        <v>661.5</v>
      </c>
      <c r="E342" s="6">
        <v>306.1</v>
      </c>
      <c r="F342" s="6">
        <v>108</v>
      </c>
      <c r="G342" s="5" t="s">
        <v>20</v>
      </c>
      <c r="H342" s="6">
        <v>3260</v>
      </c>
      <c r="I342" s="14">
        <f t="shared" si="50"/>
        <v>28352.8736986479</v>
      </c>
      <c r="J342" s="15">
        <f t="shared" si="51"/>
        <v>900.033622689875</v>
      </c>
      <c r="K342" s="15">
        <f t="shared" si="52"/>
        <v>27452.840075958</v>
      </c>
      <c r="L342" s="15">
        <f t="shared" si="53"/>
        <v>0.0317439999999999</v>
      </c>
      <c r="M342" s="15">
        <f t="shared" si="54"/>
        <v>0.0327847180910832</v>
      </c>
      <c r="N342" s="16">
        <f t="shared" si="55"/>
        <v>125</v>
      </c>
      <c r="O342" s="16">
        <f t="shared" si="56"/>
        <v>275500.291905371</v>
      </c>
      <c r="P342" s="16">
        <f t="shared" si="57"/>
        <v>2964906.72820346</v>
      </c>
      <c r="Q342" s="16">
        <f t="shared" si="58"/>
        <v>2.83425925925926</v>
      </c>
      <c r="R342" s="16">
        <f t="shared" si="59"/>
        <v>0.0929203908118572</v>
      </c>
      <c r="S342" s="16">
        <v>13.9263157894737</v>
      </c>
    </row>
    <row r="343" spans="1:19">
      <c r="A343" s="5" t="s">
        <v>98</v>
      </c>
      <c r="B343" s="6">
        <v>190</v>
      </c>
      <c r="C343" s="6">
        <v>1.13</v>
      </c>
      <c r="D343" s="6">
        <v>660</v>
      </c>
      <c r="E343" s="6">
        <v>185.7</v>
      </c>
      <c r="F343" s="6">
        <v>108</v>
      </c>
      <c r="G343" s="5" t="s">
        <v>20</v>
      </c>
      <c r="H343" s="6">
        <v>3058</v>
      </c>
      <c r="I343" s="14">
        <f t="shared" si="50"/>
        <v>28352.8736986479</v>
      </c>
      <c r="J343" s="15">
        <f t="shared" si="51"/>
        <v>670.48844306636</v>
      </c>
      <c r="K343" s="15">
        <f t="shared" si="52"/>
        <v>27682.3852555815</v>
      </c>
      <c r="L343" s="15">
        <f t="shared" si="53"/>
        <v>0.0236479889196676</v>
      </c>
      <c r="M343" s="15">
        <f t="shared" si="54"/>
        <v>0.0242207612124454</v>
      </c>
      <c r="N343" s="16">
        <f t="shared" si="55"/>
        <v>168.141592920354</v>
      </c>
      <c r="O343" s="16">
        <f t="shared" si="56"/>
        <v>124509.703877423</v>
      </c>
      <c r="P343" s="16">
        <f t="shared" si="57"/>
        <v>2989697.6076028</v>
      </c>
      <c r="Q343" s="16">
        <f t="shared" si="58"/>
        <v>1.71944444444444</v>
      </c>
      <c r="R343" s="16">
        <f t="shared" si="59"/>
        <v>0.0416462533069547</v>
      </c>
      <c r="S343" s="16">
        <v>13.8947368421053</v>
      </c>
    </row>
    <row r="344" spans="1:19">
      <c r="A344" s="5" t="s">
        <v>99</v>
      </c>
      <c r="B344" s="6">
        <v>190</v>
      </c>
      <c r="C344" s="6">
        <v>0.86</v>
      </c>
      <c r="D344" s="6">
        <v>662</v>
      </c>
      <c r="E344" s="6">
        <v>210.7</v>
      </c>
      <c r="F344" s="6">
        <v>108</v>
      </c>
      <c r="G344" s="5" t="s">
        <v>20</v>
      </c>
      <c r="H344" s="6">
        <v>3070</v>
      </c>
      <c r="I344" s="14">
        <f t="shared" si="50"/>
        <v>28352.8736986479</v>
      </c>
      <c r="J344" s="15">
        <f t="shared" si="51"/>
        <v>511.012717669979</v>
      </c>
      <c r="K344" s="15">
        <f t="shared" si="52"/>
        <v>27841.8609809779</v>
      </c>
      <c r="L344" s="15">
        <f t="shared" si="53"/>
        <v>0.0180233130193907</v>
      </c>
      <c r="M344" s="15">
        <f t="shared" si="54"/>
        <v>0.0183541149788483</v>
      </c>
      <c r="N344" s="16">
        <f t="shared" si="55"/>
        <v>220.93023255814</v>
      </c>
      <c r="O344" s="16">
        <f t="shared" si="56"/>
        <v>107670.379613065</v>
      </c>
      <c r="P344" s="16">
        <f t="shared" si="57"/>
        <v>3006920.98594561</v>
      </c>
      <c r="Q344" s="16">
        <f t="shared" si="58"/>
        <v>1.95092592592593</v>
      </c>
      <c r="R344" s="16">
        <f t="shared" si="59"/>
        <v>0.0358075187596606</v>
      </c>
      <c r="S344" s="16">
        <v>13.9368421052632</v>
      </c>
    </row>
    <row r="345" spans="1:19">
      <c r="A345" s="5">
        <v>4</v>
      </c>
      <c r="B345" s="6">
        <v>133</v>
      </c>
      <c r="C345" s="6">
        <v>4.5</v>
      </c>
      <c r="D345" s="6">
        <v>465</v>
      </c>
      <c r="E345" s="6">
        <v>325</v>
      </c>
      <c r="F345" s="6">
        <v>42.2</v>
      </c>
      <c r="G345" s="5" t="s">
        <v>265</v>
      </c>
      <c r="H345" s="6">
        <v>800</v>
      </c>
      <c r="I345" s="14">
        <f t="shared" si="50"/>
        <v>13892.9081123375</v>
      </c>
      <c r="J345" s="15">
        <f t="shared" si="51"/>
        <v>1816.6259519383</v>
      </c>
      <c r="K345" s="15">
        <f t="shared" si="52"/>
        <v>12076.2821603992</v>
      </c>
      <c r="L345" s="15">
        <f t="shared" si="53"/>
        <v>0.130759228899316</v>
      </c>
      <c r="M345" s="15">
        <f t="shared" si="54"/>
        <v>0.15042924037461</v>
      </c>
      <c r="N345" s="16">
        <f t="shared" si="55"/>
        <v>29.5555555555556</v>
      </c>
      <c r="O345" s="16">
        <f t="shared" si="56"/>
        <v>590403.434379947</v>
      </c>
      <c r="P345" s="16">
        <f t="shared" si="57"/>
        <v>509619.107168845</v>
      </c>
      <c r="Q345" s="16">
        <f t="shared" si="58"/>
        <v>7.70142180094787</v>
      </c>
      <c r="R345" s="16">
        <f t="shared" si="59"/>
        <v>1.15851903132105</v>
      </c>
      <c r="S345" s="16">
        <v>13.984962406015</v>
      </c>
    </row>
    <row r="346" spans="1:19">
      <c r="A346" s="5" t="s">
        <v>266</v>
      </c>
      <c r="B346" s="6">
        <v>114.43</v>
      </c>
      <c r="C346" s="6">
        <v>3.98</v>
      </c>
      <c r="D346" s="6">
        <v>300</v>
      </c>
      <c r="E346" s="6">
        <v>343</v>
      </c>
      <c r="F346" s="6">
        <v>31.4</v>
      </c>
      <c r="G346" s="5" t="s">
        <v>265</v>
      </c>
      <c r="H346" s="6">
        <v>948</v>
      </c>
      <c r="I346" s="14">
        <f t="shared" si="50"/>
        <v>10284.1801875731</v>
      </c>
      <c r="J346" s="15">
        <f t="shared" si="51"/>
        <v>1381.01585618419</v>
      </c>
      <c r="K346" s="15">
        <f t="shared" si="52"/>
        <v>8903.16433138895</v>
      </c>
      <c r="L346" s="15">
        <f t="shared" si="53"/>
        <v>0.134285458927775</v>
      </c>
      <c r="M346" s="15">
        <f t="shared" si="54"/>
        <v>0.15511517082924</v>
      </c>
      <c r="N346" s="16">
        <f t="shared" si="55"/>
        <v>28.751256281407</v>
      </c>
      <c r="O346" s="16">
        <f t="shared" si="56"/>
        <v>473688.438671177</v>
      </c>
      <c r="P346" s="16">
        <f t="shared" si="57"/>
        <v>279559.360005613</v>
      </c>
      <c r="Q346" s="16">
        <f t="shared" si="58"/>
        <v>10.9235668789809</v>
      </c>
      <c r="R346" s="16">
        <f t="shared" si="59"/>
        <v>1.69441094249774</v>
      </c>
      <c r="S346" s="16">
        <v>10.486760464913</v>
      </c>
    </row>
    <row r="347" spans="1:19">
      <c r="A347" s="5" t="s">
        <v>267</v>
      </c>
      <c r="B347" s="6">
        <v>114.57</v>
      </c>
      <c r="C347" s="6">
        <v>3.99</v>
      </c>
      <c r="D347" s="6">
        <v>300</v>
      </c>
      <c r="E347" s="6">
        <v>343</v>
      </c>
      <c r="F347" s="6">
        <v>93.6</v>
      </c>
      <c r="G347" s="5" t="s">
        <v>265</v>
      </c>
      <c r="H347" s="6">
        <v>1308</v>
      </c>
      <c r="I347" s="14">
        <f t="shared" si="50"/>
        <v>10309.3600526917</v>
      </c>
      <c r="J347" s="15">
        <f t="shared" si="51"/>
        <v>1386.1152893795</v>
      </c>
      <c r="K347" s="15">
        <f t="shared" si="52"/>
        <v>8923.24476331216</v>
      </c>
      <c r="L347" s="15">
        <f t="shared" si="53"/>
        <v>0.134452117521844</v>
      </c>
      <c r="M347" s="15">
        <f t="shared" si="54"/>
        <v>0.155337584717893</v>
      </c>
      <c r="N347" s="16">
        <f t="shared" si="55"/>
        <v>28.7142857142857</v>
      </c>
      <c r="O347" s="16">
        <f t="shared" si="56"/>
        <v>475437.544257168</v>
      </c>
      <c r="P347" s="16">
        <f t="shared" si="57"/>
        <v>835215.709846018</v>
      </c>
      <c r="Q347" s="16">
        <f t="shared" si="58"/>
        <v>3.66452991452991</v>
      </c>
      <c r="R347" s="16">
        <f t="shared" si="59"/>
        <v>0.569239226049544</v>
      </c>
      <c r="S347" s="16">
        <v>10.4739460591778</v>
      </c>
    </row>
    <row r="348" spans="1:19">
      <c r="A348" s="5" t="s">
        <v>268</v>
      </c>
      <c r="B348" s="6">
        <v>114.43</v>
      </c>
      <c r="C348" s="6">
        <v>3.82</v>
      </c>
      <c r="D348" s="6">
        <v>300</v>
      </c>
      <c r="E348" s="6">
        <v>343</v>
      </c>
      <c r="F348" s="6">
        <v>34.7</v>
      </c>
      <c r="G348" s="5" t="s">
        <v>265</v>
      </c>
      <c r="H348" s="6">
        <v>929</v>
      </c>
      <c r="I348" s="14">
        <f t="shared" si="50"/>
        <v>10284.1801875731</v>
      </c>
      <c r="J348" s="15">
        <f t="shared" si="51"/>
        <v>1327.41777223983</v>
      </c>
      <c r="K348" s="15">
        <f t="shared" si="52"/>
        <v>8956.76241533331</v>
      </c>
      <c r="L348" s="15">
        <f t="shared" si="53"/>
        <v>0.129073756782656</v>
      </c>
      <c r="M348" s="15">
        <f t="shared" si="54"/>
        <v>0.148202856198059</v>
      </c>
      <c r="N348" s="16">
        <f t="shared" si="55"/>
        <v>29.955497382199</v>
      </c>
      <c r="O348" s="16">
        <f t="shared" si="56"/>
        <v>455304.295878261</v>
      </c>
      <c r="P348" s="16">
        <f t="shared" si="57"/>
        <v>310799.655812066</v>
      </c>
      <c r="Q348" s="16">
        <f t="shared" si="58"/>
        <v>9.88472622478386</v>
      </c>
      <c r="R348" s="16">
        <f t="shared" si="59"/>
        <v>1.46494465924883</v>
      </c>
      <c r="S348" s="16">
        <v>10.486760464913</v>
      </c>
    </row>
    <row r="349" spans="1:19">
      <c r="A349" s="5" t="s">
        <v>269</v>
      </c>
      <c r="B349" s="6">
        <v>114.26</v>
      </c>
      <c r="C349" s="6">
        <v>3.93</v>
      </c>
      <c r="D349" s="6">
        <v>300</v>
      </c>
      <c r="E349" s="6">
        <v>343</v>
      </c>
      <c r="F349" s="6">
        <v>97.2</v>
      </c>
      <c r="G349" s="5" t="s">
        <v>265</v>
      </c>
      <c r="H349" s="6">
        <v>1359</v>
      </c>
      <c r="I349" s="14">
        <f t="shared" si="50"/>
        <v>10253.6460275553</v>
      </c>
      <c r="J349" s="15">
        <f t="shared" si="51"/>
        <v>1362.18483565931</v>
      </c>
      <c r="K349" s="15">
        <f t="shared" si="52"/>
        <v>8891.46119189598</v>
      </c>
      <c r="L349" s="15">
        <f t="shared" si="53"/>
        <v>0.13284882587117</v>
      </c>
      <c r="M349" s="15">
        <f t="shared" si="54"/>
        <v>0.15320145994686</v>
      </c>
      <c r="N349" s="16">
        <f t="shared" si="55"/>
        <v>29.0737913486005</v>
      </c>
      <c r="O349" s="16">
        <f t="shared" si="56"/>
        <v>467229.398631143</v>
      </c>
      <c r="P349" s="16">
        <f t="shared" si="57"/>
        <v>864250.027852289</v>
      </c>
      <c r="Q349" s="16">
        <f t="shared" si="58"/>
        <v>3.52880658436214</v>
      </c>
      <c r="R349" s="16">
        <f t="shared" si="59"/>
        <v>0.540618320594371</v>
      </c>
      <c r="S349" s="16">
        <v>10.5023630316821</v>
      </c>
    </row>
    <row r="350" spans="1:19">
      <c r="A350" s="5" t="s">
        <v>270</v>
      </c>
      <c r="B350" s="6">
        <v>114.88</v>
      </c>
      <c r="C350" s="6">
        <v>4.91</v>
      </c>
      <c r="D350" s="6">
        <v>300.5</v>
      </c>
      <c r="E350" s="6">
        <v>365</v>
      </c>
      <c r="F350" s="6">
        <v>34.7</v>
      </c>
      <c r="G350" s="5" t="s">
        <v>265</v>
      </c>
      <c r="H350" s="6">
        <v>1380</v>
      </c>
      <c r="I350" s="14">
        <f t="shared" si="50"/>
        <v>10365.225031355</v>
      </c>
      <c r="J350" s="15">
        <f t="shared" si="51"/>
        <v>1696.31143560597</v>
      </c>
      <c r="K350" s="15">
        <f t="shared" si="52"/>
        <v>8668.91359574906</v>
      </c>
      <c r="L350" s="15">
        <f t="shared" si="53"/>
        <v>0.163654086667158</v>
      </c>
      <c r="M350" s="15">
        <f t="shared" si="54"/>
        <v>0.195677511013351</v>
      </c>
      <c r="N350" s="16">
        <f t="shared" si="55"/>
        <v>23.3971486761711</v>
      </c>
      <c r="O350" s="16">
        <f t="shared" si="56"/>
        <v>619153.67399618</v>
      </c>
      <c r="P350" s="16">
        <f t="shared" si="57"/>
        <v>300811.301772493</v>
      </c>
      <c r="Q350" s="16">
        <f t="shared" si="58"/>
        <v>10.5187319884726</v>
      </c>
      <c r="R350" s="16">
        <f t="shared" si="59"/>
        <v>2.05827929452084</v>
      </c>
      <c r="S350" s="16">
        <v>10.4630919220056</v>
      </c>
    </row>
    <row r="351" spans="1:19">
      <c r="A351" s="5" t="s">
        <v>271</v>
      </c>
      <c r="B351" s="6">
        <v>115.04</v>
      </c>
      <c r="C351" s="6">
        <v>4.92</v>
      </c>
      <c r="D351" s="6">
        <v>300</v>
      </c>
      <c r="E351" s="6">
        <v>365</v>
      </c>
      <c r="F351" s="6">
        <v>104.9</v>
      </c>
      <c r="G351" s="5" t="s">
        <v>265</v>
      </c>
      <c r="H351" s="6">
        <v>1787</v>
      </c>
      <c r="I351" s="14">
        <f t="shared" si="50"/>
        <v>10394.1176306716</v>
      </c>
      <c r="J351" s="15">
        <f t="shared" si="51"/>
        <v>1702.08474042548</v>
      </c>
      <c r="K351" s="15">
        <f t="shared" si="52"/>
        <v>8692.0328902461</v>
      </c>
      <c r="L351" s="15">
        <f t="shared" si="53"/>
        <v>0.163754615918802</v>
      </c>
      <c r="M351" s="15">
        <f t="shared" si="54"/>
        <v>0.195821249403635</v>
      </c>
      <c r="N351" s="16">
        <f t="shared" si="55"/>
        <v>23.3821138211382</v>
      </c>
      <c r="O351" s="16">
        <f t="shared" si="56"/>
        <v>621260.930255299</v>
      </c>
      <c r="P351" s="16">
        <f t="shared" si="57"/>
        <v>911794.250186816</v>
      </c>
      <c r="Q351" s="16">
        <f t="shared" si="58"/>
        <v>3.47950428979981</v>
      </c>
      <c r="R351" s="16">
        <f t="shared" si="59"/>
        <v>0.681360877333905</v>
      </c>
      <c r="S351" s="16">
        <v>10.4311543810848</v>
      </c>
    </row>
    <row r="352" spans="1:19">
      <c r="A352" s="5" t="s">
        <v>272</v>
      </c>
      <c r="B352" s="6">
        <v>115.02</v>
      </c>
      <c r="C352" s="6">
        <v>5.02</v>
      </c>
      <c r="D352" s="6">
        <v>300.5</v>
      </c>
      <c r="E352" s="6">
        <v>365</v>
      </c>
      <c r="F352" s="6">
        <v>57.6</v>
      </c>
      <c r="G352" s="5" t="s">
        <v>265</v>
      </c>
      <c r="H352" s="6">
        <v>1413</v>
      </c>
      <c r="I352" s="14">
        <f t="shared" si="50"/>
        <v>10390.5038566421</v>
      </c>
      <c r="J352" s="15">
        <f t="shared" si="51"/>
        <v>1734.78746331228</v>
      </c>
      <c r="K352" s="15">
        <f t="shared" si="52"/>
        <v>8655.71639332986</v>
      </c>
      <c r="L352" s="15">
        <f t="shared" si="53"/>
        <v>0.166958935509496</v>
      </c>
      <c r="M352" s="15">
        <f t="shared" si="54"/>
        <v>0.200421014793082</v>
      </c>
      <c r="N352" s="16">
        <f t="shared" si="55"/>
        <v>22.9123505976096</v>
      </c>
      <c r="O352" s="16">
        <f t="shared" si="56"/>
        <v>633197.424108984</v>
      </c>
      <c r="P352" s="16">
        <f t="shared" si="57"/>
        <v>498569.2642558</v>
      </c>
      <c r="Q352" s="16">
        <f t="shared" si="58"/>
        <v>6.33680555555556</v>
      </c>
      <c r="R352" s="16">
        <f t="shared" si="59"/>
        <v>1.27002899999088</v>
      </c>
      <c r="S352" s="16">
        <v>10.4503564597461</v>
      </c>
    </row>
    <row r="353" spans="1:19">
      <c r="A353" s="5" t="s">
        <v>273</v>
      </c>
      <c r="B353" s="6">
        <v>114.49</v>
      </c>
      <c r="C353" s="6">
        <v>3.75</v>
      </c>
      <c r="D353" s="6">
        <v>299.3</v>
      </c>
      <c r="E353" s="6">
        <v>343</v>
      </c>
      <c r="F353" s="6">
        <v>57.6</v>
      </c>
      <c r="G353" s="5" t="s">
        <v>265</v>
      </c>
      <c r="H353" s="6">
        <v>1038</v>
      </c>
      <c r="I353" s="14">
        <f t="shared" si="50"/>
        <v>10294.967788427</v>
      </c>
      <c r="J353" s="15">
        <f t="shared" si="51"/>
        <v>1304.6248892195</v>
      </c>
      <c r="K353" s="15">
        <f t="shared" si="52"/>
        <v>8990.34289920753</v>
      </c>
      <c r="L353" s="15">
        <f t="shared" si="53"/>
        <v>0.126724523673214</v>
      </c>
      <c r="M353" s="15">
        <f t="shared" si="54"/>
        <v>0.145114030003739</v>
      </c>
      <c r="N353" s="16">
        <f t="shared" si="55"/>
        <v>30.5306666666667</v>
      </c>
      <c r="O353" s="16">
        <f t="shared" si="56"/>
        <v>447486.337002289</v>
      </c>
      <c r="P353" s="16">
        <f t="shared" si="57"/>
        <v>517843.750994354</v>
      </c>
      <c r="Q353" s="16">
        <f t="shared" si="58"/>
        <v>5.95486111111111</v>
      </c>
      <c r="R353" s="16">
        <f t="shared" si="59"/>
        <v>0.864133893945875</v>
      </c>
      <c r="S353" s="16">
        <v>10.4568084548869</v>
      </c>
    </row>
    <row r="354" spans="1:19">
      <c r="A354" s="5" t="s">
        <v>274</v>
      </c>
      <c r="B354" s="6">
        <v>114.29</v>
      </c>
      <c r="C354" s="6">
        <v>3.75</v>
      </c>
      <c r="D354" s="6">
        <v>300</v>
      </c>
      <c r="E354" s="6">
        <v>343</v>
      </c>
      <c r="F354" s="6">
        <v>57.6</v>
      </c>
      <c r="G354" s="5" t="s">
        <v>265</v>
      </c>
      <c r="H354" s="6">
        <v>1067</v>
      </c>
      <c r="I354" s="14">
        <f t="shared" si="50"/>
        <v>10259.0311100626</v>
      </c>
      <c r="J354" s="15">
        <f t="shared" si="51"/>
        <v>1302.26869472931</v>
      </c>
      <c r="K354" s="15">
        <f t="shared" si="52"/>
        <v>8956.76241533331</v>
      </c>
      <c r="L354" s="15">
        <f t="shared" si="53"/>
        <v>0.126938760664443</v>
      </c>
      <c r="M354" s="15">
        <f t="shared" si="54"/>
        <v>0.14539502493668</v>
      </c>
      <c r="N354" s="16">
        <f t="shared" si="55"/>
        <v>30.4773333333333</v>
      </c>
      <c r="O354" s="16">
        <f t="shared" si="56"/>
        <v>446678.162292153</v>
      </c>
      <c r="P354" s="16">
        <f t="shared" si="57"/>
        <v>515909.515123199</v>
      </c>
      <c r="Q354" s="16">
        <f t="shared" si="58"/>
        <v>5.95486111111111</v>
      </c>
      <c r="R354" s="16">
        <f t="shared" si="59"/>
        <v>0.865807179744469</v>
      </c>
      <c r="S354" s="16">
        <v>10.4996062647651</v>
      </c>
    </row>
    <row r="355" spans="1:19">
      <c r="A355" s="5" t="s">
        <v>275</v>
      </c>
      <c r="B355" s="6">
        <v>114.3</v>
      </c>
      <c r="C355" s="6">
        <v>3.85</v>
      </c>
      <c r="D355" s="6">
        <v>300</v>
      </c>
      <c r="E355" s="6">
        <v>343</v>
      </c>
      <c r="F355" s="6">
        <v>31.9</v>
      </c>
      <c r="G355" s="5" t="s">
        <v>265</v>
      </c>
      <c r="H355" s="6">
        <v>998</v>
      </c>
      <c r="I355" s="14">
        <f t="shared" si="50"/>
        <v>10260.8264517243</v>
      </c>
      <c r="J355" s="15">
        <f t="shared" si="51"/>
        <v>1335.90729806762</v>
      </c>
      <c r="K355" s="15">
        <f t="shared" si="52"/>
        <v>8924.91915365671</v>
      </c>
      <c r="L355" s="15">
        <f t="shared" si="53"/>
        <v>0.130194902365113</v>
      </c>
      <c r="M355" s="15">
        <f t="shared" si="54"/>
        <v>0.149682845868724</v>
      </c>
      <c r="N355" s="16">
        <f t="shared" si="55"/>
        <v>29.6883116883117</v>
      </c>
      <c r="O355" s="16">
        <f t="shared" si="56"/>
        <v>458216.203237194</v>
      </c>
      <c r="P355" s="16">
        <f t="shared" si="57"/>
        <v>284704.921001649</v>
      </c>
      <c r="Q355" s="16">
        <f t="shared" si="58"/>
        <v>10.7523510971787</v>
      </c>
      <c r="R355" s="16">
        <f t="shared" si="59"/>
        <v>1.60944251200541</v>
      </c>
      <c r="S355" s="16">
        <v>10.498687664042</v>
      </c>
    </row>
    <row r="356" spans="1:19">
      <c r="A356" s="5" t="s">
        <v>276</v>
      </c>
      <c r="B356" s="6">
        <v>114.09</v>
      </c>
      <c r="C356" s="6">
        <v>3.85</v>
      </c>
      <c r="D356" s="6">
        <v>300.5</v>
      </c>
      <c r="E356" s="6">
        <v>343</v>
      </c>
      <c r="F356" s="6">
        <v>31.9</v>
      </c>
      <c r="G356" s="5" t="s">
        <v>265</v>
      </c>
      <c r="H356" s="6">
        <v>948</v>
      </c>
      <c r="I356" s="14">
        <f t="shared" si="50"/>
        <v>10223.1572635513</v>
      </c>
      <c r="J356" s="15">
        <f t="shared" si="51"/>
        <v>1333.3673204072</v>
      </c>
      <c r="K356" s="15">
        <f t="shared" si="52"/>
        <v>8889.78994314408</v>
      </c>
      <c r="L356" s="15">
        <f t="shared" si="53"/>
        <v>0.130426177161635</v>
      </c>
      <c r="M356" s="15">
        <f t="shared" si="54"/>
        <v>0.149988619408888</v>
      </c>
      <c r="N356" s="16">
        <f t="shared" si="55"/>
        <v>29.6337662337662</v>
      </c>
      <c r="O356" s="16">
        <f t="shared" si="56"/>
        <v>457344.990899668</v>
      </c>
      <c r="P356" s="16">
        <f t="shared" si="57"/>
        <v>283584.299186296</v>
      </c>
      <c r="Q356" s="16">
        <f t="shared" si="58"/>
        <v>10.7523510971787</v>
      </c>
      <c r="R356" s="16">
        <f t="shared" si="59"/>
        <v>1.61273029646547</v>
      </c>
      <c r="S356" s="16">
        <v>10.5355421158734</v>
      </c>
    </row>
    <row r="357" spans="1:19">
      <c r="A357" s="5" t="s">
        <v>277</v>
      </c>
      <c r="B357" s="6">
        <v>114.54</v>
      </c>
      <c r="C357" s="6">
        <v>3.84</v>
      </c>
      <c r="D357" s="6">
        <v>300</v>
      </c>
      <c r="E357" s="6">
        <v>343</v>
      </c>
      <c r="F357" s="6">
        <v>98.9</v>
      </c>
      <c r="G357" s="5" t="s">
        <v>265</v>
      </c>
      <c r="H357" s="6">
        <v>1359</v>
      </c>
      <c r="I357" s="14">
        <f t="shared" si="50"/>
        <v>10303.9617754952</v>
      </c>
      <c r="J357" s="15">
        <f t="shared" si="51"/>
        <v>1335.45333792918</v>
      </c>
      <c r="K357" s="15">
        <f t="shared" si="52"/>
        <v>8968.508437566</v>
      </c>
      <c r="L357" s="15">
        <f t="shared" si="53"/>
        <v>0.129605812504579</v>
      </c>
      <c r="M357" s="15">
        <f t="shared" si="54"/>
        <v>0.148904731174185</v>
      </c>
      <c r="N357" s="16">
        <f t="shared" si="55"/>
        <v>29.828125</v>
      </c>
      <c r="O357" s="16">
        <f t="shared" si="56"/>
        <v>458060.494909708</v>
      </c>
      <c r="P357" s="16">
        <f t="shared" si="57"/>
        <v>886985.484475278</v>
      </c>
      <c r="Q357" s="16">
        <f t="shared" si="58"/>
        <v>3.46814964610718</v>
      </c>
      <c r="R357" s="16">
        <f t="shared" si="59"/>
        <v>0.516423890725435</v>
      </c>
      <c r="S357" s="16">
        <v>10.4766893661603</v>
      </c>
    </row>
    <row r="358" spans="1:19">
      <c r="A358" s="5" t="s">
        <v>278</v>
      </c>
      <c r="B358" s="6">
        <v>114.37</v>
      </c>
      <c r="C358" s="6">
        <v>3.85</v>
      </c>
      <c r="D358" s="6">
        <v>299.5</v>
      </c>
      <c r="E358" s="6">
        <v>343</v>
      </c>
      <c r="F358" s="6">
        <v>98.9</v>
      </c>
      <c r="G358" s="5" t="s">
        <v>265</v>
      </c>
      <c r="H358" s="6">
        <v>1182</v>
      </c>
      <c r="I358" s="14">
        <f t="shared" si="50"/>
        <v>10273.398241586</v>
      </c>
      <c r="J358" s="15">
        <f t="shared" si="51"/>
        <v>1336.75395728777</v>
      </c>
      <c r="K358" s="15">
        <f t="shared" si="52"/>
        <v>8936.64428429825</v>
      </c>
      <c r="L358" s="15">
        <f t="shared" si="53"/>
        <v>0.130117992688795</v>
      </c>
      <c r="M358" s="15">
        <f t="shared" si="54"/>
        <v>0.149581197904056</v>
      </c>
      <c r="N358" s="16">
        <f t="shared" si="55"/>
        <v>29.7064935064935</v>
      </c>
      <c r="O358" s="16">
        <f t="shared" si="56"/>
        <v>458506.607349704</v>
      </c>
      <c r="P358" s="16">
        <f t="shared" si="57"/>
        <v>883834.119717097</v>
      </c>
      <c r="Q358" s="16">
        <f t="shared" si="58"/>
        <v>3.46814964610718</v>
      </c>
      <c r="R358" s="16">
        <f t="shared" si="59"/>
        <v>0.518769978575239</v>
      </c>
      <c r="S358" s="16">
        <v>10.4747748535455</v>
      </c>
    </row>
    <row r="359" spans="1:19">
      <c r="A359" s="5" t="s">
        <v>279</v>
      </c>
      <c r="B359" s="6">
        <v>149</v>
      </c>
      <c r="C359" s="6">
        <v>2.96</v>
      </c>
      <c r="D359" s="6">
        <v>447</v>
      </c>
      <c r="E359" s="6">
        <v>308</v>
      </c>
      <c r="F359" s="6">
        <v>25.4</v>
      </c>
      <c r="G359" s="5" t="s">
        <v>20</v>
      </c>
      <c r="H359" s="6">
        <v>941</v>
      </c>
      <c r="I359" s="14">
        <f t="shared" si="50"/>
        <v>17436.6246255867</v>
      </c>
      <c r="J359" s="15">
        <f t="shared" si="51"/>
        <v>1358.04264574555</v>
      </c>
      <c r="K359" s="15">
        <f t="shared" si="52"/>
        <v>16078.5819798412</v>
      </c>
      <c r="L359" s="15">
        <f t="shared" si="53"/>
        <v>0.0778844916895634</v>
      </c>
      <c r="M359" s="15">
        <f t="shared" si="54"/>
        <v>0.0844628368004229</v>
      </c>
      <c r="N359" s="16">
        <f t="shared" si="55"/>
        <v>50.3378378378378</v>
      </c>
      <c r="O359" s="16">
        <f t="shared" si="56"/>
        <v>418277.134889629</v>
      </c>
      <c r="P359" s="16">
        <f t="shared" si="57"/>
        <v>408395.982287966</v>
      </c>
      <c r="Q359" s="16">
        <f t="shared" si="58"/>
        <v>12.1259842519685</v>
      </c>
      <c r="R359" s="16">
        <f t="shared" si="59"/>
        <v>1.02419502891851</v>
      </c>
      <c r="S359" s="16">
        <v>12</v>
      </c>
    </row>
    <row r="360" spans="1:19">
      <c r="A360" s="5" t="s">
        <v>280</v>
      </c>
      <c r="B360" s="6">
        <v>149</v>
      </c>
      <c r="C360" s="6">
        <v>2.96</v>
      </c>
      <c r="D360" s="6">
        <v>447</v>
      </c>
      <c r="E360" s="6">
        <v>308</v>
      </c>
      <c r="F360" s="6">
        <v>40.5</v>
      </c>
      <c r="G360" s="5" t="s">
        <v>20</v>
      </c>
      <c r="H360" s="6">
        <v>1064</v>
      </c>
      <c r="I360" s="14">
        <f t="shared" si="50"/>
        <v>17436.6246255867</v>
      </c>
      <c r="J360" s="15">
        <f t="shared" si="51"/>
        <v>1358.04264574555</v>
      </c>
      <c r="K360" s="15">
        <f t="shared" si="52"/>
        <v>16078.5819798412</v>
      </c>
      <c r="L360" s="15">
        <f t="shared" si="53"/>
        <v>0.0778844916895634</v>
      </c>
      <c r="M360" s="15">
        <f t="shared" si="54"/>
        <v>0.0844628368004229</v>
      </c>
      <c r="N360" s="16">
        <f t="shared" si="55"/>
        <v>50.3378378378378</v>
      </c>
      <c r="O360" s="16">
        <f t="shared" si="56"/>
        <v>418277.134889629</v>
      </c>
      <c r="P360" s="16">
        <f t="shared" si="57"/>
        <v>651182.570183569</v>
      </c>
      <c r="Q360" s="16">
        <f t="shared" si="58"/>
        <v>7.60493827160494</v>
      </c>
      <c r="R360" s="16">
        <f t="shared" si="59"/>
        <v>0.642334660111858</v>
      </c>
      <c r="S360" s="16">
        <v>12</v>
      </c>
    </row>
    <row r="361" spans="1:19">
      <c r="A361" s="5" t="s">
        <v>281</v>
      </c>
      <c r="B361" s="6">
        <v>149</v>
      </c>
      <c r="C361" s="6">
        <v>2.96</v>
      </c>
      <c r="D361" s="6">
        <v>447</v>
      </c>
      <c r="E361" s="6">
        <v>308</v>
      </c>
      <c r="F361" s="6">
        <v>40.5</v>
      </c>
      <c r="G361" s="5" t="s">
        <v>20</v>
      </c>
      <c r="H361" s="6">
        <v>1080</v>
      </c>
      <c r="I361" s="14">
        <f t="shared" si="50"/>
        <v>17436.6246255867</v>
      </c>
      <c r="J361" s="15">
        <f t="shared" si="51"/>
        <v>1358.04264574555</v>
      </c>
      <c r="K361" s="15">
        <f t="shared" si="52"/>
        <v>16078.5819798412</v>
      </c>
      <c r="L361" s="15">
        <f t="shared" si="53"/>
        <v>0.0778844916895634</v>
      </c>
      <c r="M361" s="15">
        <f t="shared" si="54"/>
        <v>0.0844628368004229</v>
      </c>
      <c r="N361" s="16">
        <f t="shared" si="55"/>
        <v>50.3378378378378</v>
      </c>
      <c r="O361" s="16">
        <f t="shared" si="56"/>
        <v>418277.134889629</v>
      </c>
      <c r="P361" s="16">
        <f t="shared" si="57"/>
        <v>651182.570183569</v>
      </c>
      <c r="Q361" s="16">
        <f t="shared" si="58"/>
        <v>7.60493827160494</v>
      </c>
      <c r="R361" s="16">
        <f t="shared" si="59"/>
        <v>0.642334660111858</v>
      </c>
      <c r="S361" s="16">
        <v>12</v>
      </c>
    </row>
    <row r="362" spans="1:19">
      <c r="A362" s="5" t="s">
        <v>282</v>
      </c>
      <c r="B362" s="6">
        <v>149</v>
      </c>
      <c r="C362" s="6">
        <v>2.96</v>
      </c>
      <c r="D362" s="6">
        <v>447</v>
      </c>
      <c r="E362" s="6">
        <v>308</v>
      </c>
      <c r="F362" s="6">
        <v>77</v>
      </c>
      <c r="G362" s="5" t="s">
        <v>20</v>
      </c>
      <c r="H362" s="6">
        <v>1781</v>
      </c>
      <c r="I362" s="14">
        <f t="shared" si="50"/>
        <v>17436.6246255867</v>
      </c>
      <c r="J362" s="15">
        <f t="shared" si="51"/>
        <v>1358.04264574555</v>
      </c>
      <c r="K362" s="15">
        <f t="shared" si="52"/>
        <v>16078.5819798412</v>
      </c>
      <c r="L362" s="15">
        <f t="shared" si="53"/>
        <v>0.0778844916895634</v>
      </c>
      <c r="M362" s="15">
        <f t="shared" si="54"/>
        <v>0.0844628368004229</v>
      </c>
      <c r="N362" s="16">
        <f t="shared" si="55"/>
        <v>50.3378378378378</v>
      </c>
      <c r="O362" s="16">
        <f t="shared" si="56"/>
        <v>418277.134889629</v>
      </c>
      <c r="P362" s="16">
        <f t="shared" si="57"/>
        <v>1238050.81244777</v>
      </c>
      <c r="Q362" s="16">
        <f t="shared" si="58"/>
        <v>4</v>
      </c>
      <c r="R362" s="16">
        <f t="shared" si="59"/>
        <v>0.337851347201692</v>
      </c>
      <c r="S362" s="16">
        <v>12</v>
      </c>
    </row>
    <row r="363" spans="1:19">
      <c r="A363" s="5" t="s">
        <v>283</v>
      </c>
      <c r="B363" s="6">
        <v>301</v>
      </c>
      <c r="C363" s="6">
        <v>2.96</v>
      </c>
      <c r="D363" s="6">
        <v>903</v>
      </c>
      <c r="E363" s="6">
        <v>279</v>
      </c>
      <c r="F363" s="6">
        <v>25.4</v>
      </c>
      <c r="G363" s="5" t="s">
        <v>20</v>
      </c>
      <c r="H363" s="6">
        <v>2382</v>
      </c>
      <c r="I363" s="14">
        <f t="shared" si="50"/>
        <v>71157.8590019722</v>
      </c>
      <c r="J363" s="15">
        <f t="shared" si="51"/>
        <v>2771.50801244867</v>
      </c>
      <c r="K363" s="15">
        <f t="shared" si="52"/>
        <v>68386.3509895235</v>
      </c>
      <c r="L363" s="15">
        <f t="shared" si="53"/>
        <v>0.0389487268352447</v>
      </c>
      <c r="M363" s="15">
        <f t="shared" si="54"/>
        <v>0.0405272100696418</v>
      </c>
      <c r="N363" s="16">
        <f t="shared" si="55"/>
        <v>101.689189189189</v>
      </c>
      <c r="O363" s="16">
        <f t="shared" si="56"/>
        <v>773250.73547318</v>
      </c>
      <c r="P363" s="16">
        <f t="shared" si="57"/>
        <v>1737013.3151339</v>
      </c>
      <c r="Q363" s="16">
        <f t="shared" si="58"/>
        <v>10.9842519685039</v>
      </c>
      <c r="R363" s="16">
        <f t="shared" si="59"/>
        <v>0.445161086985435</v>
      </c>
      <c r="S363" s="16">
        <v>12</v>
      </c>
    </row>
    <row r="364" spans="1:19">
      <c r="A364" s="5" t="s">
        <v>284</v>
      </c>
      <c r="B364" s="6">
        <v>300</v>
      </c>
      <c r="C364" s="6">
        <v>2.96</v>
      </c>
      <c r="D364" s="6">
        <v>900</v>
      </c>
      <c r="E364" s="6">
        <v>279</v>
      </c>
      <c r="F364" s="6">
        <v>41.1</v>
      </c>
      <c r="G364" s="5" t="s">
        <v>20</v>
      </c>
      <c r="H364" s="6">
        <v>3277</v>
      </c>
      <c r="I364" s="14">
        <f t="shared" si="50"/>
        <v>70685.8347057704</v>
      </c>
      <c r="J364" s="15">
        <f t="shared" si="51"/>
        <v>2762.20889819405</v>
      </c>
      <c r="K364" s="15">
        <f t="shared" si="52"/>
        <v>67923.6258075763</v>
      </c>
      <c r="L364" s="15">
        <f t="shared" si="53"/>
        <v>0.0390772622222223</v>
      </c>
      <c r="M364" s="15">
        <f t="shared" si="54"/>
        <v>0.0406663935464698</v>
      </c>
      <c r="N364" s="16">
        <f t="shared" si="55"/>
        <v>101.351351351351</v>
      </c>
      <c r="O364" s="16">
        <f t="shared" si="56"/>
        <v>770656.28259614</v>
      </c>
      <c r="P364" s="16">
        <f t="shared" si="57"/>
        <v>2791661.02069139</v>
      </c>
      <c r="Q364" s="16">
        <f t="shared" si="58"/>
        <v>6.78832116788321</v>
      </c>
      <c r="R364" s="16">
        <f t="shared" si="59"/>
        <v>0.27605654013297</v>
      </c>
      <c r="S364" s="16">
        <v>12</v>
      </c>
    </row>
    <row r="365" spans="1:19">
      <c r="A365" s="5" t="s">
        <v>285</v>
      </c>
      <c r="B365" s="6">
        <v>300</v>
      </c>
      <c r="C365" s="6">
        <v>2.96</v>
      </c>
      <c r="D365" s="6">
        <v>900</v>
      </c>
      <c r="E365" s="6">
        <v>279</v>
      </c>
      <c r="F365" s="6">
        <v>41.1</v>
      </c>
      <c r="G365" s="5" t="s">
        <v>20</v>
      </c>
      <c r="H365" s="6">
        <v>3152</v>
      </c>
      <c r="I365" s="14">
        <f t="shared" si="50"/>
        <v>70685.8347057704</v>
      </c>
      <c r="J365" s="15">
        <f t="shared" si="51"/>
        <v>2762.20889819405</v>
      </c>
      <c r="K365" s="15">
        <f t="shared" si="52"/>
        <v>67923.6258075763</v>
      </c>
      <c r="L365" s="15">
        <f t="shared" si="53"/>
        <v>0.0390772622222223</v>
      </c>
      <c r="M365" s="15">
        <f t="shared" si="54"/>
        <v>0.0406663935464698</v>
      </c>
      <c r="N365" s="16">
        <f t="shared" si="55"/>
        <v>101.351351351351</v>
      </c>
      <c r="O365" s="16">
        <f t="shared" si="56"/>
        <v>770656.28259614</v>
      </c>
      <c r="P365" s="16">
        <f t="shared" si="57"/>
        <v>2791661.02069139</v>
      </c>
      <c r="Q365" s="16">
        <f t="shared" si="58"/>
        <v>6.78832116788321</v>
      </c>
      <c r="R365" s="16">
        <f t="shared" si="59"/>
        <v>0.27605654013297</v>
      </c>
      <c r="S365" s="16">
        <v>12</v>
      </c>
    </row>
    <row r="366" spans="1:19">
      <c r="A366" s="5" t="s">
        <v>286</v>
      </c>
      <c r="B366" s="6">
        <v>301</v>
      </c>
      <c r="C366" s="6">
        <v>2.96</v>
      </c>
      <c r="D366" s="6">
        <v>903</v>
      </c>
      <c r="E366" s="6">
        <v>279</v>
      </c>
      <c r="F366" s="6">
        <v>80.3</v>
      </c>
      <c r="G366" s="5" t="s">
        <v>20</v>
      </c>
      <c r="H366" s="6">
        <v>5540</v>
      </c>
      <c r="I366" s="14">
        <f t="shared" si="50"/>
        <v>71157.8590019722</v>
      </c>
      <c r="J366" s="15">
        <f t="shared" si="51"/>
        <v>2771.50801244867</v>
      </c>
      <c r="K366" s="15">
        <f t="shared" si="52"/>
        <v>68386.3509895235</v>
      </c>
      <c r="L366" s="15">
        <f t="shared" si="53"/>
        <v>0.0389487268352447</v>
      </c>
      <c r="M366" s="15">
        <f t="shared" si="54"/>
        <v>0.0405272100696418</v>
      </c>
      <c r="N366" s="16">
        <f t="shared" si="55"/>
        <v>101.689189189189</v>
      </c>
      <c r="O366" s="16">
        <f t="shared" si="56"/>
        <v>773250.73547318</v>
      </c>
      <c r="P366" s="16">
        <f t="shared" si="57"/>
        <v>5491423.98445874</v>
      </c>
      <c r="Q366" s="16">
        <f t="shared" si="58"/>
        <v>3.47447073474471</v>
      </c>
      <c r="R366" s="16">
        <f t="shared" si="59"/>
        <v>0.140810605347821</v>
      </c>
      <c r="S366" s="16">
        <v>12</v>
      </c>
    </row>
    <row r="367" spans="1:19">
      <c r="A367" s="5" t="s">
        <v>287</v>
      </c>
      <c r="B367" s="6">
        <v>450</v>
      </c>
      <c r="C367" s="6">
        <v>2.96</v>
      </c>
      <c r="D367" s="6">
        <v>1350</v>
      </c>
      <c r="E367" s="6">
        <v>279</v>
      </c>
      <c r="F367" s="6">
        <v>25.4</v>
      </c>
      <c r="G367" s="5" t="s">
        <v>20</v>
      </c>
      <c r="H367" s="6">
        <v>4415</v>
      </c>
      <c r="I367" s="14">
        <f t="shared" si="50"/>
        <v>159043.128087983</v>
      </c>
      <c r="J367" s="15">
        <f t="shared" si="51"/>
        <v>4157.07603638792</v>
      </c>
      <c r="K367" s="15">
        <f t="shared" si="52"/>
        <v>154886.052051595</v>
      </c>
      <c r="L367" s="15">
        <f t="shared" si="53"/>
        <v>0.0261380424691358</v>
      </c>
      <c r="M367" s="15">
        <f t="shared" si="54"/>
        <v>0.0268395764584607</v>
      </c>
      <c r="N367" s="16">
        <f t="shared" si="55"/>
        <v>152.027027027027</v>
      </c>
      <c r="O367" s="16">
        <f t="shared" si="56"/>
        <v>1159824.21415223</v>
      </c>
      <c r="P367" s="16">
        <f t="shared" si="57"/>
        <v>3934105.72211052</v>
      </c>
      <c r="Q367" s="16">
        <f t="shared" si="58"/>
        <v>10.9842519685039</v>
      </c>
      <c r="R367" s="16">
        <f t="shared" si="59"/>
        <v>0.294812670547659</v>
      </c>
      <c r="S367" s="16">
        <v>12</v>
      </c>
    </row>
    <row r="368" spans="1:19">
      <c r="A368" s="5" t="s">
        <v>288</v>
      </c>
      <c r="B368" s="6">
        <v>450</v>
      </c>
      <c r="C368" s="6">
        <v>2.96</v>
      </c>
      <c r="D368" s="6">
        <v>1350</v>
      </c>
      <c r="E368" s="6">
        <v>279</v>
      </c>
      <c r="F368" s="6">
        <v>41.1</v>
      </c>
      <c r="G368" s="5" t="s">
        <v>20</v>
      </c>
      <c r="H368" s="6">
        <v>6870</v>
      </c>
      <c r="I368" s="14">
        <f t="shared" si="50"/>
        <v>159043.128087983</v>
      </c>
      <c r="J368" s="15">
        <f t="shared" si="51"/>
        <v>4157.07603638792</v>
      </c>
      <c r="K368" s="15">
        <f t="shared" si="52"/>
        <v>154886.052051595</v>
      </c>
      <c r="L368" s="15">
        <f t="shared" si="53"/>
        <v>0.0261380424691358</v>
      </c>
      <c r="M368" s="15">
        <f t="shared" si="54"/>
        <v>0.0268395764584607</v>
      </c>
      <c r="N368" s="16">
        <f t="shared" si="55"/>
        <v>152.027027027027</v>
      </c>
      <c r="O368" s="16">
        <f t="shared" si="56"/>
        <v>1159824.21415223</v>
      </c>
      <c r="P368" s="16">
        <f t="shared" si="57"/>
        <v>6365816.73932057</v>
      </c>
      <c r="Q368" s="16">
        <f t="shared" si="58"/>
        <v>6.78832116788321</v>
      </c>
      <c r="R368" s="16">
        <f t="shared" si="59"/>
        <v>0.182195665009989</v>
      </c>
      <c r="S368" s="16">
        <v>12</v>
      </c>
    </row>
    <row r="369" spans="1:19">
      <c r="A369" s="5" t="s">
        <v>289</v>
      </c>
      <c r="B369" s="6">
        <v>450</v>
      </c>
      <c r="C369" s="6">
        <v>2.96</v>
      </c>
      <c r="D369" s="6">
        <v>1350</v>
      </c>
      <c r="E369" s="6">
        <v>279</v>
      </c>
      <c r="F369" s="6">
        <v>41.1</v>
      </c>
      <c r="G369" s="5" t="s">
        <v>20</v>
      </c>
      <c r="H369" s="6">
        <v>6985</v>
      </c>
      <c r="I369" s="14">
        <f t="shared" si="50"/>
        <v>159043.128087983</v>
      </c>
      <c r="J369" s="15">
        <f t="shared" si="51"/>
        <v>4157.07603638792</v>
      </c>
      <c r="K369" s="15">
        <f t="shared" si="52"/>
        <v>154886.052051595</v>
      </c>
      <c r="L369" s="15">
        <f t="shared" si="53"/>
        <v>0.0261380424691358</v>
      </c>
      <c r="M369" s="15">
        <f t="shared" si="54"/>
        <v>0.0268395764584607</v>
      </c>
      <c r="N369" s="16">
        <f t="shared" si="55"/>
        <v>152.027027027027</v>
      </c>
      <c r="O369" s="16">
        <f t="shared" si="56"/>
        <v>1159824.21415223</v>
      </c>
      <c r="P369" s="16">
        <f t="shared" si="57"/>
        <v>6365816.73932057</v>
      </c>
      <c r="Q369" s="16">
        <f t="shared" si="58"/>
        <v>6.78832116788321</v>
      </c>
      <c r="R369" s="16">
        <f t="shared" si="59"/>
        <v>0.182195665009989</v>
      </c>
      <c r="S369" s="16">
        <v>12</v>
      </c>
    </row>
    <row r="370" spans="1:19">
      <c r="A370" s="5" t="s">
        <v>290</v>
      </c>
      <c r="B370" s="6">
        <v>450</v>
      </c>
      <c r="C370" s="6">
        <v>2.96</v>
      </c>
      <c r="D370" s="6">
        <v>1350</v>
      </c>
      <c r="E370" s="6">
        <v>279</v>
      </c>
      <c r="F370" s="6">
        <v>85.1</v>
      </c>
      <c r="G370" s="5" t="s">
        <v>20</v>
      </c>
      <c r="H370" s="6">
        <v>11665</v>
      </c>
      <c r="I370" s="14">
        <f t="shared" si="50"/>
        <v>159043.128087983</v>
      </c>
      <c r="J370" s="15">
        <f t="shared" si="51"/>
        <v>4157.07603638792</v>
      </c>
      <c r="K370" s="15">
        <f t="shared" si="52"/>
        <v>154886.052051595</v>
      </c>
      <c r="L370" s="15">
        <f t="shared" si="53"/>
        <v>0.0261380424691358</v>
      </c>
      <c r="M370" s="15">
        <f t="shared" si="54"/>
        <v>0.0268395764584607</v>
      </c>
      <c r="N370" s="16">
        <f t="shared" si="55"/>
        <v>152.027027027027</v>
      </c>
      <c r="O370" s="16">
        <f t="shared" si="56"/>
        <v>1159824.21415223</v>
      </c>
      <c r="P370" s="16">
        <f t="shared" si="57"/>
        <v>13180803.0295908</v>
      </c>
      <c r="Q370" s="16">
        <f t="shared" si="58"/>
        <v>3.27849588719154</v>
      </c>
      <c r="R370" s="16">
        <f t="shared" si="59"/>
        <v>0.0879934410330263</v>
      </c>
      <c r="S370" s="16">
        <v>12</v>
      </c>
    </row>
    <row r="371" spans="1:19">
      <c r="A371" s="5" t="s">
        <v>291</v>
      </c>
      <c r="B371" s="6">
        <v>122</v>
      </c>
      <c r="C371" s="6">
        <v>4.54</v>
      </c>
      <c r="D371" s="6">
        <v>366</v>
      </c>
      <c r="E371" s="6">
        <v>576</v>
      </c>
      <c r="F371" s="6">
        <v>25.4</v>
      </c>
      <c r="G371" s="5" t="s">
        <v>20</v>
      </c>
      <c r="H371" s="6">
        <v>1509</v>
      </c>
      <c r="I371" s="14">
        <f t="shared" si="50"/>
        <v>11689.8662640076</v>
      </c>
      <c r="J371" s="15">
        <f t="shared" si="51"/>
        <v>1675.31208783158</v>
      </c>
      <c r="K371" s="15">
        <f t="shared" si="52"/>
        <v>10014.554176176</v>
      </c>
      <c r="L371" s="15">
        <f t="shared" si="53"/>
        <v>0.143313195377587</v>
      </c>
      <c r="M371" s="15">
        <f t="shared" si="54"/>
        <v>0.167287735266043</v>
      </c>
      <c r="N371" s="16">
        <f t="shared" si="55"/>
        <v>26.8722466960352</v>
      </c>
      <c r="O371" s="16">
        <f t="shared" si="56"/>
        <v>964979.762590992</v>
      </c>
      <c r="P371" s="16">
        <f t="shared" si="57"/>
        <v>254369.676074871</v>
      </c>
      <c r="Q371" s="16">
        <f t="shared" si="58"/>
        <v>22.6771653543307</v>
      </c>
      <c r="R371" s="16">
        <f t="shared" si="59"/>
        <v>3.79361163437956</v>
      </c>
      <c r="S371" s="16">
        <v>12</v>
      </c>
    </row>
    <row r="372" spans="1:19">
      <c r="A372" s="5" t="s">
        <v>292</v>
      </c>
      <c r="B372" s="6">
        <v>122</v>
      </c>
      <c r="C372" s="6">
        <v>4.54</v>
      </c>
      <c r="D372" s="6">
        <v>366</v>
      </c>
      <c r="E372" s="6">
        <v>576</v>
      </c>
      <c r="F372" s="6">
        <v>40.5</v>
      </c>
      <c r="G372" s="5" t="s">
        <v>20</v>
      </c>
      <c r="H372" s="6">
        <v>1657</v>
      </c>
      <c r="I372" s="14">
        <f t="shared" si="50"/>
        <v>11689.8662640076</v>
      </c>
      <c r="J372" s="15">
        <f t="shared" si="51"/>
        <v>1675.31208783158</v>
      </c>
      <c r="K372" s="15">
        <f t="shared" si="52"/>
        <v>10014.554176176</v>
      </c>
      <c r="L372" s="15">
        <f t="shared" si="53"/>
        <v>0.143313195377587</v>
      </c>
      <c r="M372" s="15">
        <f t="shared" si="54"/>
        <v>0.167287735266043</v>
      </c>
      <c r="N372" s="16">
        <f t="shared" si="55"/>
        <v>26.8722466960352</v>
      </c>
      <c r="O372" s="16">
        <f t="shared" si="56"/>
        <v>964979.762590992</v>
      </c>
      <c r="P372" s="16">
        <f t="shared" si="57"/>
        <v>405589.44413513</v>
      </c>
      <c r="Q372" s="16">
        <f t="shared" si="58"/>
        <v>14.2222222222222</v>
      </c>
      <c r="R372" s="16">
        <f t="shared" si="59"/>
        <v>2.37920334600595</v>
      </c>
      <c r="S372" s="16">
        <v>12</v>
      </c>
    </row>
    <row r="373" spans="1:19">
      <c r="A373" s="5" t="s">
        <v>293</v>
      </c>
      <c r="B373" s="6">
        <v>122</v>
      </c>
      <c r="C373" s="6">
        <v>4.54</v>
      </c>
      <c r="D373" s="6">
        <v>366</v>
      </c>
      <c r="E373" s="6">
        <v>576</v>
      </c>
      <c r="F373" s="6">
        <v>40.5</v>
      </c>
      <c r="G373" s="5" t="s">
        <v>20</v>
      </c>
      <c r="H373" s="6">
        <v>1663</v>
      </c>
      <c r="I373" s="14">
        <f t="shared" si="50"/>
        <v>11689.8662640076</v>
      </c>
      <c r="J373" s="15">
        <f t="shared" si="51"/>
        <v>1675.31208783158</v>
      </c>
      <c r="K373" s="15">
        <f t="shared" si="52"/>
        <v>10014.554176176</v>
      </c>
      <c r="L373" s="15">
        <f t="shared" si="53"/>
        <v>0.143313195377587</v>
      </c>
      <c r="M373" s="15">
        <f t="shared" si="54"/>
        <v>0.167287735266043</v>
      </c>
      <c r="N373" s="16">
        <f t="shared" si="55"/>
        <v>26.8722466960352</v>
      </c>
      <c r="O373" s="16">
        <f t="shared" si="56"/>
        <v>964979.762590992</v>
      </c>
      <c r="P373" s="16">
        <f t="shared" si="57"/>
        <v>405589.44413513</v>
      </c>
      <c r="Q373" s="16">
        <f t="shared" si="58"/>
        <v>14.2222222222222</v>
      </c>
      <c r="R373" s="16">
        <f t="shared" si="59"/>
        <v>2.37920334600595</v>
      </c>
      <c r="S373" s="16">
        <v>12</v>
      </c>
    </row>
    <row r="374" spans="1:19">
      <c r="A374" s="5" t="s">
        <v>294</v>
      </c>
      <c r="B374" s="6">
        <v>122</v>
      </c>
      <c r="C374" s="6">
        <v>4.54</v>
      </c>
      <c r="D374" s="6">
        <v>366</v>
      </c>
      <c r="E374" s="6">
        <v>576</v>
      </c>
      <c r="F374" s="6">
        <v>77</v>
      </c>
      <c r="G374" s="5" t="s">
        <v>20</v>
      </c>
      <c r="H374" s="6">
        <v>2100</v>
      </c>
      <c r="I374" s="14">
        <f t="shared" si="50"/>
        <v>11689.8662640076</v>
      </c>
      <c r="J374" s="15">
        <f t="shared" si="51"/>
        <v>1675.31208783158</v>
      </c>
      <c r="K374" s="15">
        <f t="shared" si="52"/>
        <v>10014.554176176</v>
      </c>
      <c r="L374" s="15">
        <f t="shared" si="53"/>
        <v>0.143313195377587</v>
      </c>
      <c r="M374" s="15">
        <f t="shared" si="54"/>
        <v>0.167287735266043</v>
      </c>
      <c r="N374" s="16">
        <f t="shared" si="55"/>
        <v>26.8722466960352</v>
      </c>
      <c r="O374" s="16">
        <f t="shared" si="56"/>
        <v>964979.762590992</v>
      </c>
      <c r="P374" s="16">
        <f t="shared" si="57"/>
        <v>771120.671565555</v>
      </c>
      <c r="Q374" s="16">
        <f t="shared" si="58"/>
        <v>7.48051948051948</v>
      </c>
      <c r="R374" s="16">
        <f t="shared" si="59"/>
        <v>1.25139916250962</v>
      </c>
      <c r="S374" s="16">
        <v>12</v>
      </c>
    </row>
    <row r="375" spans="1:19">
      <c r="A375" s="5" t="s">
        <v>295</v>
      </c>
      <c r="B375" s="6">
        <v>239</v>
      </c>
      <c r="C375" s="6">
        <v>4.54</v>
      </c>
      <c r="D375" s="6">
        <v>717</v>
      </c>
      <c r="E375" s="6">
        <v>507</v>
      </c>
      <c r="F375" s="6">
        <v>25.4</v>
      </c>
      <c r="G375" s="5" t="s">
        <v>20</v>
      </c>
      <c r="H375" s="6">
        <v>3035</v>
      </c>
      <c r="I375" s="14">
        <f t="shared" si="50"/>
        <v>44862.7284914256</v>
      </c>
      <c r="J375" s="15">
        <f t="shared" si="51"/>
        <v>3344.06327356541</v>
      </c>
      <c r="K375" s="15">
        <f t="shared" si="52"/>
        <v>41518.6652178602</v>
      </c>
      <c r="L375" s="15">
        <f t="shared" si="53"/>
        <v>0.0745398995115632</v>
      </c>
      <c r="M375" s="15">
        <f t="shared" si="54"/>
        <v>0.0805436122769883</v>
      </c>
      <c r="N375" s="16">
        <f t="shared" si="55"/>
        <v>52.6431718061674</v>
      </c>
      <c r="O375" s="16">
        <f t="shared" si="56"/>
        <v>1695440.07969766</v>
      </c>
      <c r="P375" s="16">
        <f t="shared" si="57"/>
        <v>1054574.09653365</v>
      </c>
      <c r="Q375" s="16">
        <f t="shared" si="58"/>
        <v>19.9606299212598</v>
      </c>
      <c r="R375" s="16">
        <f t="shared" si="59"/>
        <v>1.6077012371824</v>
      </c>
      <c r="S375" s="16">
        <v>12</v>
      </c>
    </row>
    <row r="376" spans="1:19">
      <c r="A376" s="5" t="s">
        <v>296</v>
      </c>
      <c r="B376" s="6">
        <v>238</v>
      </c>
      <c r="C376" s="6">
        <v>4.54</v>
      </c>
      <c r="D376" s="6">
        <v>714</v>
      </c>
      <c r="E376" s="6">
        <v>507</v>
      </c>
      <c r="F376" s="6">
        <v>40.5</v>
      </c>
      <c r="G376" s="5" t="s">
        <v>20</v>
      </c>
      <c r="H376" s="6">
        <v>3583</v>
      </c>
      <c r="I376" s="14">
        <f t="shared" si="50"/>
        <v>44488.0935674851</v>
      </c>
      <c r="J376" s="15">
        <f t="shared" si="51"/>
        <v>3329.80044291812</v>
      </c>
      <c r="K376" s="15">
        <f t="shared" si="52"/>
        <v>41158.2931245669</v>
      </c>
      <c r="L376" s="15">
        <f t="shared" si="53"/>
        <v>0.074847002330344</v>
      </c>
      <c r="M376" s="15">
        <f t="shared" si="54"/>
        <v>0.0809022967215955</v>
      </c>
      <c r="N376" s="16">
        <f t="shared" si="55"/>
        <v>52.4229074889868</v>
      </c>
      <c r="O376" s="16">
        <f t="shared" si="56"/>
        <v>1688208.82455949</v>
      </c>
      <c r="P376" s="16">
        <f t="shared" si="57"/>
        <v>1666910.87154496</v>
      </c>
      <c r="Q376" s="16">
        <f t="shared" si="58"/>
        <v>12.5185185185185</v>
      </c>
      <c r="R376" s="16">
        <f t="shared" si="59"/>
        <v>1.01277689969997</v>
      </c>
      <c r="S376" s="16">
        <v>12</v>
      </c>
    </row>
    <row r="377" spans="1:19">
      <c r="A377" s="5" t="s">
        <v>297</v>
      </c>
      <c r="B377" s="6">
        <v>238</v>
      </c>
      <c r="C377" s="6">
        <v>4.54</v>
      </c>
      <c r="D377" s="6">
        <v>714</v>
      </c>
      <c r="E377" s="6">
        <v>507</v>
      </c>
      <c r="F377" s="6">
        <v>40.5</v>
      </c>
      <c r="G377" s="5" t="s">
        <v>20</v>
      </c>
      <c r="H377" s="6">
        <v>3647</v>
      </c>
      <c r="I377" s="14">
        <f t="shared" si="50"/>
        <v>44488.0935674851</v>
      </c>
      <c r="J377" s="15">
        <f t="shared" si="51"/>
        <v>3329.80044291812</v>
      </c>
      <c r="K377" s="15">
        <f t="shared" si="52"/>
        <v>41158.2931245669</v>
      </c>
      <c r="L377" s="15">
        <f t="shared" si="53"/>
        <v>0.074847002330344</v>
      </c>
      <c r="M377" s="15">
        <f t="shared" si="54"/>
        <v>0.0809022967215955</v>
      </c>
      <c r="N377" s="16">
        <f t="shared" si="55"/>
        <v>52.4229074889868</v>
      </c>
      <c r="O377" s="16">
        <f t="shared" si="56"/>
        <v>1688208.82455949</v>
      </c>
      <c r="P377" s="16">
        <f t="shared" si="57"/>
        <v>1666910.87154496</v>
      </c>
      <c r="Q377" s="16">
        <f t="shared" si="58"/>
        <v>12.5185185185185</v>
      </c>
      <c r="R377" s="16">
        <f t="shared" si="59"/>
        <v>1.01277689969997</v>
      </c>
      <c r="S377" s="16">
        <v>12</v>
      </c>
    </row>
    <row r="378" spans="1:19">
      <c r="A378" s="5" t="s">
        <v>298</v>
      </c>
      <c r="B378" s="6">
        <v>238</v>
      </c>
      <c r="C378" s="6">
        <v>4.54</v>
      </c>
      <c r="D378" s="6">
        <v>714</v>
      </c>
      <c r="E378" s="6">
        <v>507</v>
      </c>
      <c r="F378" s="6">
        <v>77</v>
      </c>
      <c r="G378" s="5" t="s">
        <v>20</v>
      </c>
      <c r="H378" s="6">
        <v>5578</v>
      </c>
      <c r="I378" s="14">
        <f t="shared" si="50"/>
        <v>44488.0935674851</v>
      </c>
      <c r="J378" s="15">
        <f t="shared" si="51"/>
        <v>3329.80044291812</v>
      </c>
      <c r="K378" s="15">
        <f t="shared" si="52"/>
        <v>41158.2931245669</v>
      </c>
      <c r="L378" s="15">
        <f t="shared" si="53"/>
        <v>0.074847002330344</v>
      </c>
      <c r="M378" s="15">
        <f t="shared" si="54"/>
        <v>0.0809022967215955</v>
      </c>
      <c r="N378" s="16">
        <f t="shared" si="55"/>
        <v>52.4229074889868</v>
      </c>
      <c r="O378" s="16">
        <f t="shared" si="56"/>
        <v>1688208.82455949</v>
      </c>
      <c r="P378" s="16">
        <f t="shared" si="57"/>
        <v>3169188.57059165</v>
      </c>
      <c r="Q378" s="16">
        <f t="shared" si="58"/>
        <v>6.58441558441558</v>
      </c>
      <c r="R378" s="16">
        <f t="shared" si="59"/>
        <v>0.532694343348687</v>
      </c>
      <c r="S378" s="16">
        <v>12</v>
      </c>
    </row>
    <row r="379" spans="1:19">
      <c r="A379" s="5" t="s">
        <v>299</v>
      </c>
      <c r="B379" s="6">
        <v>361</v>
      </c>
      <c r="C379" s="6">
        <v>4.54</v>
      </c>
      <c r="D379" s="6">
        <v>1083</v>
      </c>
      <c r="E379" s="6">
        <v>525</v>
      </c>
      <c r="F379" s="6">
        <v>25.4</v>
      </c>
      <c r="G379" s="5" t="s">
        <v>20</v>
      </c>
      <c r="H379" s="6">
        <v>5633</v>
      </c>
      <c r="I379" s="14">
        <f t="shared" si="50"/>
        <v>102353.874052119</v>
      </c>
      <c r="J379" s="15">
        <f t="shared" si="51"/>
        <v>5084.12861253572</v>
      </c>
      <c r="K379" s="15">
        <f t="shared" si="52"/>
        <v>97269.7454395831</v>
      </c>
      <c r="L379" s="15">
        <f t="shared" si="53"/>
        <v>0.0496720682008271</v>
      </c>
      <c r="M379" s="15">
        <f t="shared" si="54"/>
        <v>0.0522683449983285</v>
      </c>
      <c r="N379" s="16">
        <f t="shared" si="55"/>
        <v>79.5154185022026</v>
      </c>
      <c r="O379" s="16">
        <f t="shared" si="56"/>
        <v>2669167.52158125</v>
      </c>
      <c r="P379" s="16">
        <f t="shared" si="57"/>
        <v>2470651.53416541</v>
      </c>
      <c r="Q379" s="16">
        <f t="shared" si="58"/>
        <v>20.6692913385827</v>
      </c>
      <c r="R379" s="16">
        <f t="shared" si="59"/>
        <v>1.080349650556</v>
      </c>
      <c r="S379" s="16">
        <v>12</v>
      </c>
    </row>
    <row r="380" spans="1:19">
      <c r="A380" s="5" t="s">
        <v>300</v>
      </c>
      <c r="B380" s="6">
        <v>361</v>
      </c>
      <c r="C380" s="6">
        <v>4.54</v>
      </c>
      <c r="D380" s="6">
        <v>1083</v>
      </c>
      <c r="E380" s="6">
        <v>525</v>
      </c>
      <c r="F380" s="6">
        <v>41.1</v>
      </c>
      <c r="G380" s="5" t="s">
        <v>20</v>
      </c>
      <c r="H380" s="6">
        <v>7260</v>
      </c>
      <c r="I380" s="14">
        <f t="shared" si="50"/>
        <v>102353.874052119</v>
      </c>
      <c r="J380" s="15">
        <f t="shared" si="51"/>
        <v>5084.12861253572</v>
      </c>
      <c r="K380" s="15">
        <f t="shared" si="52"/>
        <v>97269.7454395831</v>
      </c>
      <c r="L380" s="15">
        <f t="shared" si="53"/>
        <v>0.0496720682008271</v>
      </c>
      <c r="M380" s="15">
        <f t="shared" si="54"/>
        <v>0.0522683449983285</v>
      </c>
      <c r="N380" s="16">
        <f t="shared" si="55"/>
        <v>79.5154185022026</v>
      </c>
      <c r="O380" s="16">
        <f t="shared" si="56"/>
        <v>2669167.52158125</v>
      </c>
      <c r="P380" s="16">
        <f t="shared" si="57"/>
        <v>3997786.53756687</v>
      </c>
      <c r="Q380" s="16">
        <f t="shared" si="58"/>
        <v>12.7737226277372</v>
      </c>
      <c r="R380" s="16">
        <f t="shared" si="59"/>
        <v>0.667661341219524</v>
      </c>
      <c r="S380" s="16">
        <v>12</v>
      </c>
    </row>
    <row r="381" spans="1:19">
      <c r="A381" s="5" t="s">
        <v>301</v>
      </c>
      <c r="B381" s="6">
        <v>360</v>
      </c>
      <c r="C381" s="6">
        <v>4.54</v>
      </c>
      <c r="D381" s="6">
        <v>1080</v>
      </c>
      <c r="E381" s="6">
        <v>525</v>
      </c>
      <c r="F381" s="6">
        <v>41.1</v>
      </c>
      <c r="G381" s="5" t="s">
        <v>20</v>
      </c>
      <c r="H381" s="6">
        <v>7045</v>
      </c>
      <c r="I381" s="14">
        <f t="shared" si="50"/>
        <v>101787.601976309</v>
      </c>
      <c r="J381" s="15">
        <f t="shared" si="51"/>
        <v>5069.86578188842</v>
      </c>
      <c r="K381" s="15">
        <f t="shared" si="52"/>
        <v>96717.7361944209</v>
      </c>
      <c r="L381" s="15">
        <f t="shared" si="53"/>
        <v>0.0498082839506172</v>
      </c>
      <c r="M381" s="15">
        <f t="shared" si="54"/>
        <v>0.0524191940524438</v>
      </c>
      <c r="N381" s="16">
        <f t="shared" si="55"/>
        <v>79.295154185022</v>
      </c>
      <c r="O381" s="16">
        <f t="shared" si="56"/>
        <v>2661679.53549142</v>
      </c>
      <c r="P381" s="16">
        <f t="shared" si="57"/>
        <v>3975098.9575907</v>
      </c>
      <c r="Q381" s="16">
        <f t="shared" si="58"/>
        <v>12.7737226277372</v>
      </c>
      <c r="R381" s="16">
        <f t="shared" si="59"/>
        <v>0.66958824519545</v>
      </c>
      <c r="S381" s="16">
        <v>12</v>
      </c>
    </row>
    <row r="382" spans="1:19">
      <c r="A382" s="5" t="s">
        <v>302</v>
      </c>
      <c r="B382" s="6">
        <v>360</v>
      </c>
      <c r="C382" s="6">
        <v>4.54</v>
      </c>
      <c r="D382" s="6">
        <v>1080</v>
      </c>
      <c r="E382" s="6">
        <v>525</v>
      </c>
      <c r="F382" s="6">
        <v>85.1</v>
      </c>
      <c r="G382" s="5" t="s">
        <v>20</v>
      </c>
      <c r="H382" s="6">
        <v>11505</v>
      </c>
      <c r="I382" s="14">
        <f t="shared" si="50"/>
        <v>101787.601976309</v>
      </c>
      <c r="J382" s="15">
        <f t="shared" si="51"/>
        <v>5069.86578188842</v>
      </c>
      <c r="K382" s="15">
        <f t="shared" si="52"/>
        <v>96717.7361944209</v>
      </c>
      <c r="L382" s="15">
        <f t="shared" si="53"/>
        <v>0.0498082839506172</v>
      </c>
      <c r="M382" s="15">
        <f t="shared" si="54"/>
        <v>0.0524191940524438</v>
      </c>
      <c r="N382" s="16">
        <f t="shared" si="55"/>
        <v>79.295154185022</v>
      </c>
      <c r="O382" s="16">
        <f t="shared" si="56"/>
        <v>2661679.53549142</v>
      </c>
      <c r="P382" s="16">
        <f t="shared" si="57"/>
        <v>8230679.35014522</v>
      </c>
      <c r="Q382" s="16">
        <f t="shared" si="58"/>
        <v>6.16921269095182</v>
      </c>
      <c r="R382" s="16">
        <f t="shared" si="59"/>
        <v>0.323385157197803</v>
      </c>
      <c r="S382" s="16">
        <v>12</v>
      </c>
    </row>
    <row r="383" spans="1:19">
      <c r="A383" s="5" t="s">
        <v>303</v>
      </c>
      <c r="B383" s="6">
        <v>108</v>
      </c>
      <c r="C383" s="6">
        <v>6.47</v>
      </c>
      <c r="D383" s="6">
        <v>324</v>
      </c>
      <c r="E383" s="6">
        <v>853</v>
      </c>
      <c r="F383" s="6">
        <v>25.4</v>
      </c>
      <c r="G383" s="5" t="s">
        <v>20</v>
      </c>
      <c r="H383" s="6">
        <v>2275</v>
      </c>
      <c r="I383" s="14">
        <f t="shared" si="50"/>
        <v>9160.88417786784</v>
      </c>
      <c r="J383" s="15">
        <f t="shared" si="51"/>
        <v>2063.70938670975</v>
      </c>
      <c r="K383" s="15">
        <f t="shared" si="52"/>
        <v>7097.17479115809</v>
      </c>
      <c r="L383" s="15">
        <f t="shared" si="53"/>
        <v>0.225274039780521</v>
      </c>
      <c r="M383" s="15">
        <f t="shared" si="54"/>
        <v>0.290778999733921</v>
      </c>
      <c r="N383" s="16">
        <f t="shared" si="55"/>
        <v>16.6924265842349</v>
      </c>
      <c r="O383" s="16">
        <f t="shared" si="56"/>
        <v>1760344.10686341</v>
      </c>
      <c r="P383" s="16">
        <f t="shared" si="57"/>
        <v>180268.239695415</v>
      </c>
      <c r="Q383" s="16">
        <f t="shared" si="58"/>
        <v>33.5826771653543</v>
      </c>
      <c r="R383" s="16">
        <f t="shared" si="59"/>
        <v>9.76513727452891</v>
      </c>
      <c r="S383" s="16">
        <v>12</v>
      </c>
    </row>
    <row r="384" spans="1:19">
      <c r="A384" s="5" t="s">
        <v>304</v>
      </c>
      <c r="B384" s="6">
        <v>109</v>
      </c>
      <c r="C384" s="6">
        <v>6.47</v>
      </c>
      <c r="D384" s="6">
        <v>327</v>
      </c>
      <c r="E384" s="6">
        <v>853</v>
      </c>
      <c r="F384" s="6">
        <v>40.5</v>
      </c>
      <c r="G384" s="5" t="s">
        <v>20</v>
      </c>
      <c r="H384" s="6">
        <v>2446</v>
      </c>
      <c r="I384" s="14">
        <f t="shared" si="50"/>
        <v>9331.31557932508</v>
      </c>
      <c r="J384" s="15">
        <f t="shared" si="51"/>
        <v>2084.03549117847</v>
      </c>
      <c r="K384" s="15">
        <f t="shared" si="52"/>
        <v>7247.28008814661</v>
      </c>
      <c r="L384" s="15">
        <f t="shared" si="53"/>
        <v>0.223337799848498</v>
      </c>
      <c r="M384" s="15">
        <f t="shared" si="54"/>
        <v>0.287561052675064</v>
      </c>
      <c r="N384" s="16">
        <f t="shared" si="55"/>
        <v>16.8469860896445</v>
      </c>
      <c r="O384" s="16">
        <f t="shared" si="56"/>
        <v>1777682.27397524</v>
      </c>
      <c r="P384" s="16">
        <f t="shared" si="57"/>
        <v>293514.843569938</v>
      </c>
      <c r="Q384" s="16">
        <f t="shared" si="58"/>
        <v>21.0617283950617</v>
      </c>
      <c r="R384" s="16">
        <f t="shared" si="59"/>
        <v>6.05653278844025</v>
      </c>
      <c r="S384" s="16">
        <v>12</v>
      </c>
    </row>
    <row r="385" spans="1:19">
      <c r="A385" s="5" t="s">
        <v>305</v>
      </c>
      <c r="B385" s="6">
        <v>108</v>
      </c>
      <c r="C385" s="6">
        <v>6.47</v>
      </c>
      <c r="D385" s="6">
        <v>324</v>
      </c>
      <c r="E385" s="6">
        <v>853</v>
      </c>
      <c r="F385" s="6">
        <v>40.5</v>
      </c>
      <c r="G385" s="5" t="s">
        <v>20</v>
      </c>
      <c r="H385" s="6">
        <v>2402</v>
      </c>
      <c r="I385" s="14">
        <f t="shared" si="50"/>
        <v>9160.88417786784</v>
      </c>
      <c r="J385" s="15">
        <f t="shared" si="51"/>
        <v>2063.70938670975</v>
      </c>
      <c r="K385" s="15">
        <f t="shared" si="52"/>
        <v>7097.17479115809</v>
      </c>
      <c r="L385" s="15">
        <f t="shared" si="53"/>
        <v>0.225274039780521</v>
      </c>
      <c r="M385" s="15">
        <f t="shared" si="54"/>
        <v>0.290778999733921</v>
      </c>
      <c r="N385" s="16">
        <f t="shared" si="55"/>
        <v>16.6924265842349</v>
      </c>
      <c r="O385" s="16">
        <f t="shared" si="56"/>
        <v>1760344.10686341</v>
      </c>
      <c r="P385" s="16">
        <f t="shared" si="57"/>
        <v>287435.579041903</v>
      </c>
      <c r="Q385" s="16">
        <f t="shared" si="58"/>
        <v>21.0617283950617</v>
      </c>
      <c r="R385" s="16">
        <f t="shared" si="59"/>
        <v>6.12430831538356</v>
      </c>
      <c r="S385" s="16">
        <v>12</v>
      </c>
    </row>
    <row r="386" spans="1:19">
      <c r="A386" s="5" t="s">
        <v>306</v>
      </c>
      <c r="B386" s="6">
        <v>108</v>
      </c>
      <c r="C386" s="6">
        <v>6.47</v>
      </c>
      <c r="D386" s="6">
        <v>324</v>
      </c>
      <c r="E386" s="6">
        <v>853</v>
      </c>
      <c r="F386" s="6">
        <v>77</v>
      </c>
      <c r="G386" s="5" t="s">
        <v>20</v>
      </c>
      <c r="H386" s="6">
        <v>2713</v>
      </c>
      <c r="I386" s="14">
        <f t="shared" si="50"/>
        <v>9160.88417786784</v>
      </c>
      <c r="J386" s="15">
        <f t="shared" si="51"/>
        <v>2063.70938670975</v>
      </c>
      <c r="K386" s="15">
        <f t="shared" si="52"/>
        <v>7097.17479115809</v>
      </c>
      <c r="L386" s="15">
        <f t="shared" si="53"/>
        <v>0.225274039780521</v>
      </c>
      <c r="M386" s="15">
        <f t="shared" si="54"/>
        <v>0.290778999733921</v>
      </c>
      <c r="N386" s="16">
        <f t="shared" si="55"/>
        <v>16.6924265842349</v>
      </c>
      <c r="O386" s="16">
        <f t="shared" si="56"/>
        <v>1760344.10686341</v>
      </c>
      <c r="P386" s="16">
        <f t="shared" si="57"/>
        <v>546482.458919173</v>
      </c>
      <c r="Q386" s="16">
        <f t="shared" si="58"/>
        <v>11.0779220779221</v>
      </c>
      <c r="R386" s="16">
        <f t="shared" si="59"/>
        <v>3.2212271009485</v>
      </c>
      <c r="S386" s="16">
        <v>12</v>
      </c>
    </row>
    <row r="387" spans="1:19">
      <c r="A387" s="5" t="s">
        <v>307</v>
      </c>
      <c r="B387" s="6">
        <v>222</v>
      </c>
      <c r="C387" s="6">
        <v>6.47</v>
      </c>
      <c r="D387" s="6">
        <v>666</v>
      </c>
      <c r="E387" s="6">
        <v>843</v>
      </c>
      <c r="F387" s="6">
        <v>25.4</v>
      </c>
      <c r="G387" s="5" t="s">
        <v>20</v>
      </c>
      <c r="H387" s="6">
        <v>4964</v>
      </c>
      <c r="I387" s="14">
        <f t="shared" ref="I387:I450" si="60">(PI()*B387^2)/4</f>
        <v>38707.5630848798</v>
      </c>
      <c r="J387" s="15">
        <f t="shared" ref="J387:J450" si="61">(PI()*(B387^2-(B387-2*C387)^2))/4</f>
        <v>4380.88529614451</v>
      </c>
      <c r="K387" s="15">
        <f t="shared" ref="K387:K450" si="62">(PI()*(B387-2*C387)^2)/4</f>
        <v>34326.6777887353</v>
      </c>
      <c r="L387" s="15">
        <f t="shared" ref="L387:L450" si="63">J387/I387</f>
        <v>0.113179052024998</v>
      </c>
      <c r="M387" s="15">
        <f t="shared" ref="M387:M450" si="64">J387/K387</f>
        <v>0.127623340747008</v>
      </c>
      <c r="N387" s="16">
        <f t="shared" ref="N387:N450" si="65">B387/C387</f>
        <v>34.3122102009274</v>
      </c>
      <c r="O387" s="16">
        <f t="shared" ref="O387:O450" si="66">J387*E387</f>
        <v>3693086.30464982</v>
      </c>
      <c r="P387" s="16">
        <f t="shared" ref="P387:P450" si="67">K387*F387</f>
        <v>871897.615833877</v>
      </c>
      <c r="Q387" s="16">
        <f t="shared" ref="Q387:Q450" si="68">E387/F387</f>
        <v>33.1889763779528</v>
      </c>
      <c r="R387" s="16">
        <f t="shared" ref="R387:R450" si="69">O387/P387</f>
        <v>4.23568804132785</v>
      </c>
      <c r="S387" s="16">
        <v>12</v>
      </c>
    </row>
    <row r="388" spans="1:19">
      <c r="A388" s="22" t="s">
        <v>308</v>
      </c>
      <c r="B388" s="6">
        <v>222</v>
      </c>
      <c r="C388" s="6">
        <v>6.47</v>
      </c>
      <c r="D388" s="6">
        <v>666</v>
      </c>
      <c r="E388" s="6">
        <v>843</v>
      </c>
      <c r="F388" s="6">
        <v>40.5</v>
      </c>
      <c r="G388" s="5" t="s">
        <v>20</v>
      </c>
      <c r="H388" s="6">
        <v>5638</v>
      </c>
      <c r="I388" s="14">
        <f t="shared" si="60"/>
        <v>38707.5630848798</v>
      </c>
      <c r="J388" s="15">
        <f t="shared" si="61"/>
        <v>4380.88529614451</v>
      </c>
      <c r="K388" s="15">
        <f t="shared" si="62"/>
        <v>34326.6777887353</v>
      </c>
      <c r="L388" s="15">
        <f t="shared" si="63"/>
        <v>0.113179052024998</v>
      </c>
      <c r="M388" s="15">
        <f t="shared" si="64"/>
        <v>0.127623340747008</v>
      </c>
      <c r="N388" s="16">
        <f t="shared" si="65"/>
        <v>34.3122102009274</v>
      </c>
      <c r="O388" s="16">
        <f t="shared" si="66"/>
        <v>3693086.30464982</v>
      </c>
      <c r="P388" s="16">
        <f t="shared" si="67"/>
        <v>1390230.45044378</v>
      </c>
      <c r="Q388" s="16">
        <f t="shared" si="68"/>
        <v>20.8148148148148</v>
      </c>
      <c r="R388" s="16">
        <f t="shared" si="69"/>
        <v>2.65645620369697</v>
      </c>
      <c r="S388" s="16">
        <v>12</v>
      </c>
    </row>
    <row r="389" spans="1:19">
      <c r="A389" s="22" t="s">
        <v>309</v>
      </c>
      <c r="B389" s="6">
        <v>222</v>
      </c>
      <c r="C389" s="6">
        <v>6.47</v>
      </c>
      <c r="D389" s="6">
        <v>666</v>
      </c>
      <c r="E389" s="6">
        <v>843</v>
      </c>
      <c r="F389" s="6">
        <v>40.5</v>
      </c>
      <c r="G389" s="5" t="s">
        <v>20</v>
      </c>
      <c r="H389" s="6">
        <v>5714</v>
      </c>
      <c r="I389" s="14">
        <f t="shared" si="60"/>
        <v>38707.5630848798</v>
      </c>
      <c r="J389" s="15">
        <f t="shared" si="61"/>
        <v>4380.88529614451</v>
      </c>
      <c r="K389" s="15">
        <f t="shared" si="62"/>
        <v>34326.6777887353</v>
      </c>
      <c r="L389" s="15">
        <f t="shared" si="63"/>
        <v>0.113179052024998</v>
      </c>
      <c r="M389" s="15">
        <f t="shared" si="64"/>
        <v>0.127623340747008</v>
      </c>
      <c r="N389" s="16">
        <f t="shared" si="65"/>
        <v>34.3122102009274</v>
      </c>
      <c r="O389" s="16">
        <f t="shared" si="66"/>
        <v>3693086.30464982</v>
      </c>
      <c r="P389" s="16">
        <f t="shared" si="67"/>
        <v>1390230.45044378</v>
      </c>
      <c r="Q389" s="16">
        <f t="shared" si="68"/>
        <v>20.8148148148148</v>
      </c>
      <c r="R389" s="16">
        <f t="shared" si="69"/>
        <v>2.65645620369697</v>
      </c>
      <c r="S389" s="16">
        <v>12</v>
      </c>
    </row>
    <row r="390" spans="1:19">
      <c r="A390" s="22" t="s">
        <v>310</v>
      </c>
      <c r="B390" s="6">
        <v>222</v>
      </c>
      <c r="C390" s="6">
        <v>6.47</v>
      </c>
      <c r="D390" s="6">
        <v>666</v>
      </c>
      <c r="E390" s="6">
        <v>843</v>
      </c>
      <c r="F390" s="6">
        <v>77</v>
      </c>
      <c r="G390" s="5" t="s">
        <v>20</v>
      </c>
      <c r="H390" s="6">
        <v>7304</v>
      </c>
      <c r="I390" s="14">
        <f t="shared" si="60"/>
        <v>38707.5630848798</v>
      </c>
      <c r="J390" s="15">
        <f t="shared" si="61"/>
        <v>4380.88529614451</v>
      </c>
      <c r="K390" s="15">
        <f t="shared" si="62"/>
        <v>34326.6777887353</v>
      </c>
      <c r="L390" s="15">
        <f t="shared" si="63"/>
        <v>0.113179052024998</v>
      </c>
      <c r="M390" s="15">
        <f t="shared" si="64"/>
        <v>0.127623340747008</v>
      </c>
      <c r="N390" s="16">
        <f t="shared" si="65"/>
        <v>34.3122102009274</v>
      </c>
      <c r="O390" s="16">
        <f t="shared" si="66"/>
        <v>3693086.30464982</v>
      </c>
      <c r="P390" s="16">
        <f t="shared" si="67"/>
        <v>2643154.18973262</v>
      </c>
      <c r="Q390" s="16">
        <f t="shared" si="68"/>
        <v>10.9480519480519</v>
      </c>
      <c r="R390" s="16">
        <f t="shared" si="69"/>
        <v>1.39722696428217</v>
      </c>
      <c r="S390" s="16">
        <v>12</v>
      </c>
    </row>
    <row r="391" spans="1:19">
      <c r="A391" s="5" t="s">
        <v>311</v>
      </c>
      <c r="B391" s="6">
        <v>337</v>
      </c>
      <c r="C391" s="6">
        <v>6.47</v>
      </c>
      <c r="D391" s="6">
        <v>1011</v>
      </c>
      <c r="E391" s="6">
        <v>823</v>
      </c>
      <c r="F391" s="6">
        <v>25.4</v>
      </c>
      <c r="G391" s="5" t="s">
        <v>20</v>
      </c>
      <c r="H391" s="6">
        <v>8475</v>
      </c>
      <c r="I391" s="14">
        <f t="shared" si="60"/>
        <v>89196.8840188848</v>
      </c>
      <c r="J391" s="15">
        <f t="shared" si="61"/>
        <v>6718.38731004799</v>
      </c>
      <c r="K391" s="15">
        <f t="shared" si="62"/>
        <v>82478.4967088368</v>
      </c>
      <c r="L391" s="15">
        <f t="shared" si="63"/>
        <v>0.075320874534424</v>
      </c>
      <c r="M391" s="15">
        <f t="shared" si="64"/>
        <v>0.0814562289340099</v>
      </c>
      <c r="N391" s="16">
        <f t="shared" si="65"/>
        <v>52.0865533230294</v>
      </c>
      <c r="O391" s="16">
        <f t="shared" si="66"/>
        <v>5529232.7561695</v>
      </c>
      <c r="P391" s="16">
        <f t="shared" si="67"/>
        <v>2094953.81640445</v>
      </c>
      <c r="Q391" s="16">
        <f t="shared" si="68"/>
        <v>32.4015748031496</v>
      </c>
      <c r="R391" s="16">
        <f t="shared" si="69"/>
        <v>2.6393100949878</v>
      </c>
      <c r="S391" s="16">
        <v>12</v>
      </c>
    </row>
    <row r="392" spans="1:19">
      <c r="A392" s="5" t="s">
        <v>312</v>
      </c>
      <c r="B392" s="6">
        <v>337</v>
      </c>
      <c r="C392" s="6">
        <v>6.47</v>
      </c>
      <c r="D392" s="6">
        <v>1011</v>
      </c>
      <c r="E392" s="6">
        <v>823</v>
      </c>
      <c r="F392" s="6">
        <v>41.1</v>
      </c>
      <c r="G392" s="5" t="s">
        <v>20</v>
      </c>
      <c r="H392" s="6">
        <v>9668</v>
      </c>
      <c r="I392" s="14">
        <f t="shared" si="60"/>
        <v>89196.8840188848</v>
      </c>
      <c r="J392" s="15">
        <f t="shared" si="61"/>
        <v>6718.38731004799</v>
      </c>
      <c r="K392" s="15">
        <f t="shared" si="62"/>
        <v>82478.4967088368</v>
      </c>
      <c r="L392" s="15">
        <f t="shared" si="63"/>
        <v>0.075320874534424</v>
      </c>
      <c r="M392" s="15">
        <f t="shared" si="64"/>
        <v>0.0814562289340099</v>
      </c>
      <c r="N392" s="16">
        <f t="shared" si="65"/>
        <v>52.0865533230294</v>
      </c>
      <c r="O392" s="16">
        <f t="shared" si="66"/>
        <v>5529232.7561695</v>
      </c>
      <c r="P392" s="16">
        <f t="shared" si="67"/>
        <v>3389866.21473319</v>
      </c>
      <c r="Q392" s="16">
        <f t="shared" si="68"/>
        <v>20.0243309002433</v>
      </c>
      <c r="R392" s="16">
        <f t="shared" si="69"/>
        <v>1.63110648206059</v>
      </c>
      <c r="S392" s="16">
        <v>12</v>
      </c>
    </row>
    <row r="393" spans="1:19">
      <c r="A393" s="5" t="s">
        <v>313</v>
      </c>
      <c r="B393" s="6">
        <v>337</v>
      </c>
      <c r="C393" s="6">
        <v>6.47</v>
      </c>
      <c r="D393" s="6">
        <v>1011</v>
      </c>
      <c r="E393" s="6">
        <v>823</v>
      </c>
      <c r="F393" s="6">
        <v>41.1</v>
      </c>
      <c r="G393" s="5" t="s">
        <v>20</v>
      </c>
      <c r="H393" s="6">
        <v>9835</v>
      </c>
      <c r="I393" s="14">
        <f t="shared" si="60"/>
        <v>89196.8840188848</v>
      </c>
      <c r="J393" s="15">
        <f t="shared" si="61"/>
        <v>6718.38731004799</v>
      </c>
      <c r="K393" s="15">
        <f t="shared" si="62"/>
        <v>82478.4967088368</v>
      </c>
      <c r="L393" s="15">
        <f t="shared" si="63"/>
        <v>0.075320874534424</v>
      </c>
      <c r="M393" s="15">
        <f t="shared" si="64"/>
        <v>0.0814562289340099</v>
      </c>
      <c r="N393" s="16">
        <f t="shared" si="65"/>
        <v>52.0865533230294</v>
      </c>
      <c r="O393" s="16">
        <f t="shared" si="66"/>
        <v>5529232.7561695</v>
      </c>
      <c r="P393" s="16">
        <f t="shared" si="67"/>
        <v>3389866.21473319</v>
      </c>
      <c r="Q393" s="16">
        <f t="shared" si="68"/>
        <v>20.0243309002433</v>
      </c>
      <c r="R393" s="16">
        <f t="shared" si="69"/>
        <v>1.63110648206059</v>
      </c>
      <c r="S393" s="16">
        <v>12</v>
      </c>
    </row>
    <row r="394" spans="1:19">
      <c r="A394" s="5" t="s">
        <v>314</v>
      </c>
      <c r="B394" s="6">
        <v>337</v>
      </c>
      <c r="C394" s="6">
        <v>6.47</v>
      </c>
      <c r="D394" s="6">
        <v>1011</v>
      </c>
      <c r="E394" s="6">
        <v>823</v>
      </c>
      <c r="F394" s="6">
        <v>85.1</v>
      </c>
      <c r="G394" s="5" t="s">
        <v>20</v>
      </c>
      <c r="H394" s="6">
        <v>13776</v>
      </c>
      <c r="I394" s="14">
        <f t="shared" si="60"/>
        <v>89196.8840188848</v>
      </c>
      <c r="J394" s="15">
        <f t="shared" si="61"/>
        <v>6718.38731004799</v>
      </c>
      <c r="K394" s="15">
        <f t="shared" si="62"/>
        <v>82478.4967088368</v>
      </c>
      <c r="L394" s="15">
        <f t="shared" si="63"/>
        <v>0.075320874534424</v>
      </c>
      <c r="M394" s="15">
        <f t="shared" si="64"/>
        <v>0.0814562289340099</v>
      </c>
      <c r="N394" s="16">
        <f t="shared" si="65"/>
        <v>52.0865533230294</v>
      </c>
      <c r="O394" s="16">
        <f t="shared" si="66"/>
        <v>5529232.7561695</v>
      </c>
      <c r="P394" s="16">
        <f t="shared" si="67"/>
        <v>7018920.06992201</v>
      </c>
      <c r="Q394" s="16">
        <f t="shared" si="68"/>
        <v>9.67097532314924</v>
      </c>
      <c r="R394" s="16">
        <f t="shared" si="69"/>
        <v>0.787761179937604</v>
      </c>
      <c r="S394" s="16">
        <v>12</v>
      </c>
    </row>
    <row r="395" spans="1:19">
      <c r="A395" s="5" t="s">
        <v>315</v>
      </c>
      <c r="B395" s="6">
        <v>100</v>
      </c>
      <c r="C395" s="6">
        <v>1.9</v>
      </c>
      <c r="D395" s="6">
        <v>300</v>
      </c>
      <c r="E395" s="6">
        <v>404</v>
      </c>
      <c r="F395" s="6">
        <v>121.6</v>
      </c>
      <c r="G395" s="5" t="s">
        <v>265</v>
      </c>
      <c r="H395" s="6">
        <v>1125</v>
      </c>
      <c r="I395" s="14">
        <f t="shared" si="60"/>
        <v>7853.98163397448</v>
      </c>
      <c r="J395" s="15">
        <f t="shared" si="61"/>
        <v>585.561454702601</v>
      </c>
      <c r="K395" s="15">
        <f t="shared" si="62"/>
        <v>7268.42017927188</v>
      </c>
      <c r="L395" s="15">
        <f t="shared" si="63"/>
        <v>0.074556</v>
      </c>
      <c r="M395" s="15">
        <f t="shared" si="64"/>
        <v>0.0805624111237416</v>
      </c>
      <c r="N395" s="16">
        <f t="shared" si="65"/>
        <v>52.6315789473684</v>
      </c>
      <c r="O395" s="16">
        <f t="shared" si="66"/>
        <v>236566.827699851</v>
      </c>
      <c r="P395" s="16">
        <f t="shared" si="67"/>
        <v>883839.893799461</v>
      </c>
      <c r="Q395" s="16">
        <f t="shared" si="68"/>
        <v>3.32236842105263</v>
      </c>
      <c r="R395" s="16">
        <f t="shared" si="69"/>
        <v>0.267658010641378</v>
      </c>
      <c r="S395" s="16">
        <v>12</v>
      </c>
    </row>
    <row r="396" spans="1:19">
      <c r="A396" s="5" t="s">
        <v>316</v>
      </c>
      <c r="B396" s="6">
        <v>100</v>
      </c>
      <c r="C396" s="6">
        <v>1.9</v>
      </c>
      <c r="D396" s="6">
        <v>300</v>
      </c>
      <c r="E396" s="6">
        <v>404</v>
      </c>
      <c r="F396" s="6">
        <v>121.6</v>
      </c>
      <c r="G396" s="5" t="s">
        <v>265</v>
      </c>
      <c r="H396" s="6">
        <v>1085</v>
      </c>
      <c r="I396" s="14">
        <f t="shared" si="60"/>
        <v>7853.98163397448</v>
      </c>
      <c r="J396" s="15">
        <f t="shared" si="61"/>
        <v>585.561454702601</v>
      </c>
      <c r="K396" s="15">
        <f t="shared" si="62"/>
        <v>7268.42017927188</v>
      </c>
      <c r="L396" s="15">
        <f t="shared" si="63"/>
        <v>0.074556</v>
      </c>
      <c r="M396" s="15">
        <f t="shared" si="64"/>
        <v>0.0805624111237416</v>
      </c>
      <c r="N396" s="16">
        <f t="shared" si="65"/>
        <v>52.6315789473684</v>
      </c>
      <c r="O396" s="16">
        <f t="shared" si="66"/>
        <v>236566.827699851</v>
      </c>
      <c r="P396" s="16">
        <f t="shared" si="67"/>
        <v>883839.893799461</v>
      </c>
      <c r="Q396" s="16">
        <f t="shared" si="68"/>
        <v>3.32236842105263</v>
      </c>
      <c r="R396" s="16">
        <f t="shared" si="69"/>
        <v>0.267658010641378</v>
      </c>
      <c r="S396" s="16">
        <v>12</v>
      </c>
    </row>
    <row r="397" spans="1:19">
      <c r="A397" s="5" t="s">
        <v>317</v>
      </c>
      <c r="B397" s="6">
        <v>100</v>
      </c>
      <c r="C397" s="6">
        <v>1.9</v>
      </c>
      <c r="D397" s="6">
        <v>300</v>
      </c>
      <c r="E397" s="6">
        <v>404</v>
      </c>
      <c r="F397" s="6">
        <v>121.6</v>
      </c>
      <c r="G397" s="5" t="s">
        <v>265</v>
      </c>
      <c r="H397" s="6">
        <v>1100</v>
      </c>
      <c r="I397" s="14">
        <f t="shared" si="60"/>
        <v>7853.98163397448</v>
      </c>
      <c r="J397" s="15">
        <f t="shared" si="61"/>
        <v>585.561454702601</v>
      </c>
      <c r="K397" s="15">
        <f t="shared" si="62"/>
        <v>7268.42017927188</v>
      </c>
      <c r="L397" s="15">
        <f t="shared" si="63"/>
        <v>0.074556</v>
      </c>
      <c r="M397" s="15">
        <f t="shared" si="64"/>
        <v>0.0805624111237416</v>
      </c>
      <c r="N397" s="16">
        <f t="shared" si="65"/>
        <v>52.6315789473684</v>
      </c>
      <c r="O397" s="16">
        <f t="shared" si="66"/>
        <v>236566.827699851</v>
      </c>
      <c r="P397" s="16">
        <f t="shared" si="67"/>
        <v>883839.893799461</v>
      </c>
      <c r="Q397" s="16">
        <f t="shared" si="68"/>
        <v>3.32236842105263</v>
      </c>
      <c r="R397" s="16">
        <f t="shared" si="69"/>
        <v>0.267658010641378</v>
      </c>
      <c r="S397" s="16">
        <v>12</v>
      </c>
    </row>
    <row r="398" spans="1:19">
      <c r="A398" s="5" t="s">
        <v>318</v>
      </c>
      <c r="B398" s="6">
        <v>100</v>
      </c>
      <c r="C398" s="6">
        <v>1.9</v>
      </c>
      <c r="D398" s="6">
        <v>300</v>
      </c>
      <c r="E398" s="6">
        <v>404</v>
      </c>
      <c r="F398" s="6">
        <v>121.6</v>
      </c>
      <c r="G398" s="5" t="s">
        <v>265</v>
      </c>
      <c r="H398" s="6">
        <v>1170</v>
      </c>
      <c r="I398" s="14">
        <f t="shared" si="60"/>
        <v>7853.98163397448</v>
      </c>
      <c r="J398" s="15">
        <f t="shared" si="61"/>
        <v>585.561454702601</v>
      </c>
      <c r="K398" s="15">
        <f t="shared" si="62"/>
        <v>7268.42017927188</v>
      </c>
      <c r="L398" s="15">
        <f t="shared" si="63"/>
        <v>0.074556</v>
      </c>
      <c r="M398" s="15">
        <f t="shared" si="64"/>
        <v>0.0805624111237416</v>
      </c>
      <c r="N398" s="16">
        <f t="shared" si="65"/>
        <v>52.6315789473684</v>
      </c>
      <c r="O398" s="16">
        <f t="shared" si="66"/>
        <v>236566.827699851</v>
      </c>
      <c r="P398" s="16">
        <f t="shared" si="67"/>
        <v>883839.893799461</v>
      </c>
      <c r="Q398" s="16">
        <f t="shared" si="68"/>
        <v>3.32236842105263</v>
      </c>
      <c r="R398" s="16">
        <f t="shared" si="69"/>
        <v>0.267658010641378</v>
      </c>
      <c r="S398" s="16">
        <v>12</v>
      </c>
    </row>
    <row r="399" spans="1:19">
      <c r="A399" s="5" t="s">
        <v>319</v>
      </c>
      <c r="B399" s="6">
        <v>111.64</v>
      </c>
      <c r="C399" s="6">
        <v>1.9</v>
      </c>
      <c r="D399" s="6">
        <v>400</v>
      </c>
      <c r="E399" s="6">
        <v>261.3</v>
      </c>
      <c r="F399" s="6">
        <v>47.8</v>
      </c>
      <c r="G399" s="5" t="s">
        <v>265</v>
      </c>
      <c r="H399" s="6">
        <v>666.6</v>
      </c>
      <c r="I399" s="14">
        <f t="shared" si="60"/>
        <v>9788.8018413632</v>
      </c>
      <c r="J399" s="15">
        <f t="shared" si="61"/>
        <v>655.040917829393</v>
      </c>
      <c r="K399" s="15">
        <f t="shared" si="62"/>
        <v>9133.7609235338</v>
      </c>
      <c r="L399" s="15">
        <f t="shared" si="63"/>
        <v>0.0669173744085284</v>
      </c>
      <c r="M399" s="15">
        <f t="shared" si="64"/>
        <v>0.07171645101216</v>
      </c>
      <c r="N399" s="16">
        <f t="shared" si="65"/>
        <v>58.7578947368421</v>
      </c>
      <c r="O399" s="16">
        <f t="shared" si="66"/>
        <v>171162.19182882</v>
      </c>
      <c r="P399" s="16">
        <f t="shared" si="67"/>
        <v>436593.772144916</v>
      </c>
      <c r="Q399" s="16">
        <f t="shared" si="68"/>
        <v>5.46652719665272</v>
      </c>
      <c r="R399" s="16">
        <f t="shared" si="69"/>
        <v>0.392039929905385</v>
      </c>
      <c r="S399" s="16">
        <v>14.3317807237549</v>
      </c>
    </row>
    <row r="400" spans="1:19">
      <c r="A400" s="5" t="s">
        <v>320</v>
      </c>
      <c r="B400" s="6">
        <v>111.64</v>
      </c>
      <c r="C400" s="6">
        <v>1.9</v>
      </c>
      <c r="D400" s="6">
        <v>400</v>
      </c>
      <c r="E400" s="6">
        <v>261.3</v>
      </c>
      <c r="F400" s="6">
        <v>56.7</v>
      </c>
      <c r="G400" s="5" t="s">
        <v>265</v>
      </c>
      <c r="H400" s="6">
        <v>701.9</v>
      </c>
      <c r="I400" s="14">
        <f t="shared" si="60"/>
        <v>9788.8018413632</v>
      </c>
      <c r="J400" s="15">
        <f t="shared" si="61"/>
        <v>655.040917829393</v>
      </c>
      <c r="K400" s="15">
        <f t="shared" si="62"/>
        <v>9133.7609235338</v>
      </c>
      <c r="L400" s="15">
        <f t="shared" si="63"/>
        <v>0.0669173744085284</v>
      </c>
      <c r="M400" s="15">
        <f t="shared" si="64"/>
        <v>0.07171645101216</v>
      </c>
      <c r="N400" s="16">
        <f t="shared" si="65"/>
        <v>58.7578947368421</v>
      </c>
      <c r="O400" s="16">
        <f t="shared" si="66"/>
        <v>171162.19182882</v>
      </c>
      <c r="P400" s="16">
        <f t="shared" si="67"/>
        <v>517884.244364367</v>
      </c>
      <c r="Q400" s="16">
        <f t="shared" si="68"/>
        <v>4.60846560846561</v>
      </c>
      <c r="R400" s="16">
        <f t="shared" si="69"/>
        <v>0.330502798050748</v>
      </c>
      <c r="S400" s="16">
        <v>14.3317807237549</v>
      </c>
    </row>
    <row r="401" spans="1:19">
      <c r="A401" s="5" t="s">
        <v>321</v>
      </c>
      <c r="B401" s="6">
        <v>113.64</v>
      </c>
      <c r="C401" s="6">
        <v>3.64</v>
      </c>
      <c r="D401" s="6">
        <v>400</v>
      </c>
      <c r="E401" s="6">
        <v>259.6</v>
      </c>
      <c r="F401" s="6">
        <v>56.7</v>
      </c>
      <c r="G401" s="5" t="s">
        <v>265</v>
      </c>
      <c r="H401" s="6">
        <v>1011</v>
      </c>
      <c r="I401" s="14">
        <f t="shared" si="60"/>
        <v>10142.6708378636</v>
      </c>
      <c r="J401" s="15">
        <f t="shared" si="61"/>
        <v>1257.89369849735</v>
      </c>
      <c r="K401" s="15">
        <f t="shared" si="62"/>
        <v>8884.7771393662</v>
      </c>
      <c r="L401" s="15">
        <f t="shared" si="63"/>
        <v>0.124019966595141</v>
      </c>
      <c r="M401" s="15">
        <f t="shared" si="64"/>
        <v>0.141578531320042</v>
      </c>
      <c r="N401" s="16">
        <f t="shared" si="65"/>
        <v>31.2197802197802</v>
      </c>
      <c r="O401" s="16">
        <f t="shared" si="66"/>
        <v>326549.204129913</v>
      </c>
      <c r="P401" s="16">
        <f t="shared" si="67"/>
        <v>503766.863802064</v>
      </c>
      <c r="Q401" s="16">
        <f t="shared" si="68"/>
        <v>4.57848324514991</v>
      </c>
      <c r="R401" s="16">
        <f t="shared" si="69"/>
        <v>0.648214933521746</v>
      </c>
      <c r="S401" s="16">
        <v>14.0795494544175</v>
      </c>
    </row>
    <row r="402" spans="1:19">
      <c r="A402" s="5" t="s">
        <v>322</v>
      </c>
      <c r="B402" s="6">
        <v>76.21</v>
      </c>
      <c r="C402" s="6">
        <v>2.52</v>
      </c>
      <c r="D402" s="6">
        <v>300</v>
      </c>
      <c r="E402" s="6">
        <v>286</v>
      </c>
      <c r="F402" s="6">
        <v>145</v>
      </c>
      <c r="G402" s="5" t="s">
        <v>20</v>
      </c>
      <c r="H402" s="6">
        <v>752</v>
      </c>
      <c r="I402" s="14">
        <f t="shared" si="60"/>
        <v>4561.56433721831</v>
      </c>
      <c r="J402" s="15">
        <f t="shared" si="61"/>
        <v>583.389985860441</v>
      </c>
      <c r="K402" s="15">
        <f t="shared" si="62"/>
        <v>3978.17435135787</v>
      </c>
      <c r="L402" s="15">
        <f t="shared" si="63"/>
        <v>0.127892526057453</v>
      </c>
      <c r="M402" s="15">
        <f t="shared" si="64"/>
        <v>0.146647666576331</v>
      </c>
      <c r="N402" s="16">
        <f t="shared" si="65"/>
        <v>30.2420634920635</v>
      </c>
      <c r="O402" s="16">
        <f t="shared" si="66"/>
        <v>166849.535956086</v>
      </c>
      <c r="P402" s="16">
        <f t="shared" si="67"/>
        <v>576835.280946891</v>
      </c>
      <c r="Q402" s="16">
        <f t="shared" si="68"/>
        <v>1.97241379310345</v>
      </c>
      <c r="R402" s="16">
        <f t="shared" si="69"/>
        <v>0.289249880281591</v>
      </c>
      <c r="S402" s="16">
        <v>15.745965096444</v>
      </c>
    </row>
    <row r="403" spans="1:19">
      <c r="A403" s="5" t="s">
        <v>323</v>
      </c>
      <c r="B403" s="6">
        <v>76.12</v>
      </c>
      <c r="C403" s="6">
        <v>2.51</v>
      </c>
      <c r="D403" s="6">
        <v>300</v>
      </c>
      <c r="E403" s="6">
        <v>286</v>
      </c>
      <c r="F403" s="6">
        <v>145</v>
      </c>
      <c r="G403" s="5" t="s">
        <v>20</v>
      </c>
      <c r="H403" s="6">
        <v>762</v>
      </c>
      <c r="I403" s="14">
        <f t="shared" si="60"/>
        <v>4550.79676401758</v>
      </c>
      <c r="J403" s="15">
        <f t="shared" si="61"/>
        <v>580.444114429169</v>
      </c>
      <c r="K403" s="15">
        <f t="shared" si="62"/>
        <v>3970.35264958842</v>
      </c>
      <c r="L403" s="15">
        <f t="shared" si="63"/>
        <v>0.127547799765229</v>
      </c>
      <c r="M403" s="15">
        <f t="shared" si="64"/>
        <v>0.146194599235244</v>
      </c>
      <c r="N403" s="16">
        <f t="shared" si="65"/>
        <v>30.3266932270916</v>
      </c>
      <c r="O403" s="16">
        <f t="shared" si="66"/>
        <v>166007.016726742</v>
      </c>
      <c r="P403" s="16">
        <f t="shared" si="67"/>
        <v>575701.13419032</v>
      </c>
      <c r="Q403" s="16">
        <f t="shared" si="68"/>
        <v>1.97241379310345</v>
      </c>
      <c r="R403" s="16">
        <f t="shared" si="69"/>
        <v>0.288356244008827</v>
      </c>
      <c r="S403" s="16">
        <v>15.7645822385707</v>
      </c>
    </row>
    <row r="404" spans="1:19">
      <c r="A404" s="5" t="s">
        <v>324</v>
      </c>
      <c r="B404" s="6">
        <v>76.11</v>
      </c>
      <c r="C404" s="6">
        <v>2.48</v>
      </c>
      <c r="D404" s="6">
        <v>300</v>
      </c>
      <c r="E404" s="6">
        <v>286</v>
      </c>
      <c r="F404" s="6">
        <v>145</v>
      </c>
      <c r="G404" s="5" t="s">
        <v>20</v>
      </c>
      <c r="H404" s="6">
        <v>774</v>
      </c>
      <c r="I404" s="14">
        <f t="shared" si="60"/>
        <v>4549.60115239344</v>
      </c>
      <c r="J404" s="15">
        <f t="shared" si="61"/>
        <v>573.662358367864</v>
      </c>
      <c r="K404" s="15">
        <f t="shared" si="62"/>
        <v>3975.93879402558</v>
      </c>
      <c r="L404" s="15">
        <f t="shared" si="63"/>
        <v>0.126090692162339</v>
      </c>
      <c r="M404" s="15">
        <f t="shared" si="64"/>
        <v>0.144283498335003</v>
      </c>
      <c r="N404" s="16">
        <f t="shared" si="65"/>
        <v>30.6895161290323</v>
      </c>
      <c r="O404" s="16">
        <f t="shared" si="66"/>
        <v>164067.434493209</v>
      </c>
      <c r="P404" s="16">
        <f t="shared" si="67"/>
        <v>576511.125133709</v>
      </c>
      <c r="Q404" s="16">
        <f t="shared" si="68"/>
        <v>1.97241379310345</v>
      </c>
      <c r="R404" s="16">
        <f t="shared" si="69"/>
        <v>0.284586762233179</v>
      </c>
      <c r="S404" s="16">
        <v>15.7666535277887</v>
      </c>
    </row>
    <row r="405" spans="1:19">
      <c r="A405" s="5" t="s">
        <v>325</v>
      </c>
      <c r="B405" s="6">
        <v>76.19</v>
      </c>
      <c r="C405" s="6">
        <v>2.99</v>
      </c>
      <c r="D405" s="6">
        <v>300</v>
      </c>
      <c r="E405" s="6">
        <v>278</v>
      </c>
      <c r="F405" s="6">
        <v>145</v>
      </c>
      <c r="G405" s="5" t="s">
        <v>20</v>
      </c>
      <c r="H405" s="6">
        <v>805</v>
      </c>
      <c r="I405" s="14">
        <f t="shared" si="60"/>
        <v>4559.17044361628</v>
      </c>
      <c r="J405" s="15">
        <f t="shared" si="61"/>
        <v>687.594100905891</v>
      </c>
      <c r="K405" s="15">
        <f t="shared" si="62"/>
        <v>3871.57634271039</v>
      </c>
      <c r="L405" s="15">
        <f t="shared" si="63"/>
        <v>0.150815616439314</v>
      </c>
      <c r="M405" s="15">
        <f t="shared" si="64"/>
        <v>0.1776005533768</v>
      </c>
      <c r="N405" s="16">
        <f t="shared" si="65"/>
        <v>25.4816053511706</v>
      </c>
      <c r="O405" s="16">
        <f t="shared" si="66"/>
        <v>191151.160051838</v>
      </c>
      <c r="P405" s="16">
        <f t="shared" si="67"/>
        <v>561378.569693006</v>
      </c>
      <c r="Q405" s="16">
        <f t="shared" si="68"/>
        <v>1.91724137931034</v>
      </c>
      <c r="R405" s="16">
        <f t="shared" si="69"/>
        <v>0.340503129922416</v>
      </c>
      <c r="S405" s="16">
        <v>15.7500984381152</v>
      </c>
    </row>
    <row r="406" spans="1:19">
      <c r="A406" s="5" t="s">
        <v>326</v>
      </c>
      <c r="B406" s="6">
        <v>75.84</v>
      </c>
      <c r="C406" s="6">
        <v>2.99</v>
      </c>
      <c r="D406" s="6">
        <v>300</v>
      </c>
      <c r="E406" s="6">
        <v>278</v>
      </c>
      <c r="F406" s="6">
        <v>145</v>
      </c>
      <c r="G406" s="5" t="s">
        <v>20</v>
      </c>
      <c r="H406" s="6">
        <v>796</v>
      </c>
      <c r="I406" s="14">
        <f t="shared" si="60"/>
        <v>4517.37901464282</v>
      </c>
      <c r="J406" s="15">
        <f t="shared" si="61"/>
        <v>684.306424193909</v>
      </c>
      <c r="K406" s="15">
        <f t="shared" si="62"/>
        <v>3833.07259044891</v>
      </c>
      <c r="L406" s="15">
        <f t="shared" si="63"/>
        <v>0.151483066170842</v>
      </c>
      <c r="M406" s="15">
        <f t="shared" si="64"/>
        <v>0.178526862731229</v>
      </c>
      <c r="N406" s="16">
        <f t="shared" si="65"/>
        <v>25.3645484949833</v>
      </c>
      <c r="O406" s="16">
        <f t="shared" si="66"/>
        <v>190237.185925907</v>
      </c>
      <c r="P406" s="16">
        <f t="shared" si="67"/>
        <v>555795.525615092</v>
      </c>
      <c r="Q406" s="16">
        <f t="shared" si="68"/>
        <v>1.91724137931034</v>
      </c>
      <c r="R406" s="16">
        <f t="shared" si="69"/>
        <v>0.34227908854677</v>
      </c>
      <c r="S406" s="16">
        <v>15.8227848101266</v>
      </c>
    </row>
    <row r="407" spans="1:19">
      <c r="A407" s="5" t="s">
        <v>327</v>
      </c>
      <c r="B407" s="6">
        <v>75.97</v>
      </c>
      <c r="C407" s="6">
        <v>2.98</v>
      </c>
      <c r="D407" s="6">
        <v>300</v>
      </c>
      <c r="E407" s="6">
        <v>278</v>
      </c>
      <c r="F407" s="6">
        <v>145</v>
      </c>
      <c r="G407" s="5" t="s">
        <v>20</v>
      </c>
      <c r="H407" s="6">
        <v>801</v>
      </c>
      <c r="I407" s="14">
        <f t="shared" si="60"/>
        <v>4532.87908301692</v>
      </c>
      <c r="J407" s="15">
        <f t="shared" si="61"/>
        <v>683.328446400846</v>
      </c>
      <c r="K407" s="15">
        <f t="shared" si="62"/>
        <v>3849.55063661607</v>
      </c>
      <c r="L407" s="15">
        <f t="shared" si="63"/>
        <v>0.150749321542909</v>
      </c>
      <c r="M407" s="15">
        <f t="shared" si="64"/>
        <v>0.177508626565703</v>
      </c>
      <c r="N407" s="16">
        <f t="shared" si="65"/>
        <v>25.493288590604</v>
      </c>
      <c r="O407" s="16">
        <f t="shared" si="66"/>
        <v>189965.308099435</v>
      </c>
      <c r="P407" s="16">
        <f t="shared" si="67"/>
        <v>558184.84230933</v>
      </c>
      <c r="Q407" s="16">
        <f t="shared" si="68"/>
        <v>1.91724137931034</v>
      </c>
      <c r="R407" s="16">
        <f t="shared" si="69"/>
        <v>0.340326884036313</v>
      </c>
      <c r="S407" s="16">
        <v>15.7957088324339</v>
      </c>
    </row>
    <row r="408" spans="1:19">
      <c r="A408" s="5" t="s">
        <v>328</v>
      </c>
      <c r="B408" s="6">
        <v>76.18</v>
      </c>
      <c r="C408" s="6">
        <v>3.31</v>
      </c>
      <c r="D408" s="6">
        <v>300</v>
      </c>
      <c r="E408" s="6">
        <v>305</v>
      </c>
      <c r="F408" s="6">
        <v>145</v>
      </c>
      <c r="G408" s="5" t="s">
        <v>20</v>
      </c>
      <c r="H408" s="6">
        <v>841</v>
      </c>
      <c r="I408" s="14">
        <f t="shared" si="60"/>
        <v>4557.97373243471</v>
      </c>
      <c r="J408" s="15">
        <f t="shared" si="61"/>
        <v>757.751205568062</v>
      </c>
      <c r="K408" s="15">
        <f t="shared" si="62"/>
        <v>3800.22252686665</v>
      </c>
      <c r="L408" s="15">
        <f t="shared" si="63"/>
        <v>0.166247383168507</v>
      </c>
      <c r="M408" s="15">
        <f t="shared" si="64"/>
        <v>0.199396535389953</v>
      </c>
      <c r="N408" s="16">
        <f t="shared" si="65"/>
        <v>23.0151057401813</v>
      </c>
      <c r="O408" s="16">
        <f t="shared" si="66"/>
        <v>231114.117698259</v>
      </c>
      <c r="P408" s="16">
        <f t="shared" si="67"/>
        <v>551032.266395664</v>
      </c>
      <c r="Q408" s="16">
        <f t="shared" si="68"/>
        <v>2.10344827586207</v>
      </c>
      <c r="R408" s="16">
        <f t="shared" si="69"/>
        <v>0.419420298578867</v>
      </c>
      <c r="S408" s="16">
        <v>15.7521659228144</v>
      </c>
    </row>
    <row r="409" spans="1:19">
      <c r="A409" s="5" t="s">
        <v>329</v>
      </c>
      <c r="B409" s="6">
        <v>114.3</v>
      </c>
      <c r="C409" s="6">
        <v>2.74</v>
      </c>
      <c r="D409" s="6">
        <v>300</v>
      </c>
      <c r="E409" s="6">
        <v>235</v>
      </c>
      <c r="F409" s="6">
        <v>56.2</v>
      </c>
      <c r="G409" s="5" t="s">
        <v>20</v>
      </c>
      <c r="H409" s="6">
        <v>901.81</v>
      </c>
      <c r="I409" s="14">
        <f t="shared" si="60"/>
        <v>10260.8264517243</v>
      </c>
      <c r="J409" s="15">
        <f t="shared" si="61"/>
        <v>960.304449430469</v>
      </c>
      <c r="K409" s="15">
        <f t="shared" si="62"/>
        <v>9300.52200229386</v>
      </c>
      <c r="L409" s="15">
        <f t="shared" si="63"/>
        <v>0.0935893861911182</v>
      </c>
      <c r="M409" s="15">
        <f t="shared" si="64"/>
        <v>0.103252747447253</v>
      </c>
      <c r="N409" s="16">
        <f t="shared" si="65"/>
        <v>41.7153284671533</v>
      </c>
      <c r="O409" s="16">
        <f t="shared" si="66"/>
        <v>225671.54561616</v>
      </c>
      <c r="P409" s="16">
        <f t="shared" si="67"/>
        <v>522689.336528915</v>
      </c>
      <c r="Q409" s="16">
        <f t="shared" si="68"/>
        <v>4.18149466192171</v>
      </c>
      <c r="R409" s="16">
        <f t="shared" si="69"/>
        <v>0.431750812279439</v>
      </c>
      <c r="S409" s="16">
        <v>10.498687664042</v>
      </c>
    </row>
    <row r="410" spans="1:19">
      <c r="A410" s="5" t="s">
        <v>330</v>
      </c>
      <c r="B410" s="6">
        <v>114.3</v>
      </c>
      <c r="C410" s="6">
        <v>2.74</v>
      </c>
      <c r="D410" s="6">
        <v>300</v>
      </c>
      <c r="E410" s="6">
        <v>235</v>
      </c>
      <c r="F410" s="6">
        <v>66.75</v>
      </c>
      <c r="G410" s="5" t="s">
        <v>20</v>
      </c>
      <c r="H410" s="6">
        <v>981.23</v>
      </c>
      <c r="I410" s="14">
        <f t="shared" si="60"/>
        <v>10260.8264517243</v>
      </c>
      <c r="J410" s="15">
        <f t="shared" si="61"/>
        <v>960.304449430469</v>
      </c>
      <c r="K410" s="15">
        <f t="shared" si="62"/>
        <v>9300.52200229386</v>
      </c>
      <c r="L410" s="15">
        <f t="shared" si="63"/>
        <v>0.0935893861911182</v>
      </c>
      <c r="M410" s="15">
        <f t="shared" si="64"/>
        <v>0.103252747447253</v>
      </c>
      <c r="N410" s="16">
        <f t="shared" si="65"/>
        <v>41.7153284671533</v>
      </c>
      <c r="O410" s="16">
        <f t="shared" si="66"/>
        <v>225671.54561616</v>
      </c>
      <c r="P410" s="16">
        <f t="shared" si="67"/>
        <v>620809.843653115</v>
      </c>
      <c r="Q410" s="16">
        <f t="shared" si="68"/>
        <v>3.52059925093633</v>
      </c>
      <c r="R410" s="16">
        <f t="shared" si="69"/>
        <v>0.363511545319917</v>
      </c>
      <c r="S410" s="16">
        <v>10.498687664042</v>
      </c>
    </row>
    <row r="411" spans="1:19">
      <c r="A411" s="5" t="s">
        <v>331</v>
      </c>
      <c r="B411" s="6">
        <v>114.3</v>
      </c>
      <c r="C411" s="6">
        <v>2.74</v>
      </c>
      <c r="D411" s="6">
        <v>300</v>
      </c>
      <c r="E411" s="6">
        <v>235</v>
      </c>
      <c r="F411" s="6">
        <v>107.2</v>
      </c>
      <c r="G411" s="5" t="s">
        <v>20</v>
      </c>
      <c r="H411" s="6">
        <v>1295.06</v>
      </c>
      <c r="I411" s="14">
        <f t="shared" si="60"/>
        <v>10260.8264517243</v>
      </c>
      <c r="J411" s="15">
        <f t="shared" si="61"/>
        <v>960.304449430469</v>
      </c>
      <c r="K411" s="15">
        <f t="shared" si="62"/>
        <v>9300.52200229386</v>
      </c>
      <c r="L411" s="15">
        <f t="shared" si="63"/>
        <v>0.0935893861911182</v>
      </c>
      <c r="M411" s="15">
        <f t="shared" si="64"/>
        <v>0.103252747447253</v>
      </c>
      <c r="N411" s="16">
        <f t="shared" si="65"/>
        <v>41.7153284671533</v>
      </c>
      <c r="O411" s="16">
        <f t="shared" si="66"/>
        <v>225671.54561616</v>
      </c>
      <c r="P411" s="16">
        <f t="shared" si="67"/>
        <v>997015.958645902</v>
      </c>
      <c r="Q411" s="16">
        <f t="shared" si="68"/>
        <v>2.19216417910448</v>
      </c>
      <c r="R411" s="16">
        <f t="shared" si="69"/>
        <v>0.22634697434799</v>
      </c>
      <c r="S411" s="16">
        <v>10.498687664042</v>
      </c>
    </row>
    <row r="412" spans="1:19">
      <c r="A412" s="5" t="s">
        <v>332</v>
      </c>
      <c r="B412" s="6">
        <v>114.3</v>
      </c>
      <c r="C412" s="6">
        <v>5.9</v>
      </c>
      <c r="D412" s="6">
        <v>300</v>
      </c>
      <c r="E412" s="6">
        <v>355</v>
      </c>
      <c r="F412" s="6">
        <v>56.2</v>
      </c>
      <c r="G412" s="5" t="s">
        <v>20</v>
      </c>
      <c r="H412" s="6">
        <v>1735.77</v>
      </c>
      <c r="I412" s="14">
        <f t="shared" si="60"/>
        <v>10260.8264517243</v>
      </c>
      <c r="J412" s="15">
        <f t="shared" si="61"/>
        <v>2009.23699752989</v>
      </c>
      <c r="K412" s="15">
        <f t="shared" si="62"/>
        <v>8251.58945419444</v>
      </c>
      <c r="L412" s="15">
        <f t="shared" si="63"/>
        <v>0.195816292867154</v>
      </c>
      <c r="M412" s="15">
        <f t="shared" si="64"/>
        <v>0.243496966091612</v>
      </c>
      <c r="N412" s="16">
        <f t="shared" si="65"/>
        <v>19.3728813559322</v>
      </c>
      <c r="O412" s="16">
        <f t="shared" si="66"/>
        <v>713279.13412311</v>
      </c>
      <c r="P412" s="16">
        <f t="shared" si="67"/>
        <v>463739.327325728</v>
      </c>
      <c r="Q412" s="16">
        <f t="shared" si="68"/>
        <v>6.31672597864769</v>
      </c>
      <c r="R412" s="16">
        <f t="shared" si="69"/>
        <v>1.53810361143278</v>
      </c>
      <c r="S412" s="16">
        <v>10.498687664042</v>
      </c>
    </row>
    <row r="413" spans="1:19">
      <c r="A413" s="5" t="s">
        <v>333</v>
      </c>
      <c r="B413" s="6">
        <v>114.3</v>
      </c>
      <c r="C413" s="6">
        <v>5.9</v>
      </c>
      <c r="D413" s="6">
        <v>300</v>
      </c>
      <c r="E413" s="6">
        <v>355</v>
      </c>
      <c r="F413" s="6">
        <v>66.75</v>
      </c>
      <c r="G413" s="5" t="s">
        <v>20</v>
      </c>
      <c r="H413" s="6">
        <v>1818.62</v>
      </c>
      <c r="I413" s="14">
        <f t="shared" si="60"/>
        <v>10260.8264517243</v>
      </c>
      <c r="J413" s="15">
        <f t="shared" si="61"/>
        <v>2009.23699752989</v>
      </c>
      <c r="K413" s="15">
        <f t="shared" si="62"/>
        <v>8251.58945419444</v>
      </c>
      <c r="L413" s="15">
        <f t="shared" si="63"/>
        <v>0.195816292867154</v>
      </c>
      <c r="M413" s="15">
        <f t="shared" si="64"/>
        <v>0.243496966091612</v>
      </c>
      <c r="N413" s="16">
        <f t="shared" si="65"/>
        <v>19.3728813559322</v>
      </c>
      <c r="O413" s="16">
        <f t="shared" si="66"/>
        <v>713279.13412311</v>
      </c>
      <c r="P413" s="16">
        <f t="shared" si="67"/>
        <v>550793.596067479</v>
      </c>
      <c r="Q413" s="16">
        <f t="shared" si="68"/>
        <v>5.31835205992509</v>
      </c>
      <c r="R413" s="16">
        <f t="shared" si="69"/>
        <v>1.29500259119884</v>
      </c>
      <c r="S413" s="16">
        <v>10.498687664042</v>
      </c>
    </row>
    <row r="414" spans="1:19">
      <c r="A414" s="5" t="s">
        <v>334</v>
      </c>
      <c r="B414" s="6">
        <v>114.3</v>
      </c>
      <c r="C414" s="6">
        <v>5.9</v>
      </c>
      <c r="D414" s="6">
        <v>300</v>
      </c>
      <c r="E414" s="6">
        <v>355</v>
      </c>
      <c r="F414" s="6">
        <v>107.2</v>
      </c>
      <c r="G414" s="5" t="s">
        <v>20</v>
      </c>
      <c r="H414" s="6">
        <v>1989.86</v>
      </c>
      <c r="I414" s="14">
        <f t="shared" si="60"/>
        <v>10260.8264517243</v>
      </c>
      <c r="J414" s="15">
        <f t="shared" si="61"/>
        <v>2009.23699752989</v>
      </c>
      <c r="K414" s="15">
        <f t="shared" si="62"/>
        <v>8251.58945419444</v>
      </c>
      <c r="L414" s="15">
        <f t="shared" si="63"/>
        <v>0.195816292867154</v>
      </c>
      <c r="M414" s="15">
        <f t="shared" si="64"/>
        <v>0.243496966091612</v>
      </c>
      <c r="N414" s="16">
        <f t="shared" si="65"/>
        <v>19.3728813559322</v>
      </c>
      <c r="O414" s="16">
        <f t="shared" si="66"/>
        <v>713279.13412311</v>
      </c>
      <c r="P414" s="16">
        <f t="shared" si="67"/>
        <v>884570.389489644</v>
      </c>
      <c r="Q414" s="16">
        <f t="shared" si="68"/>
        <v>3.3115671641791</v>
      </c>
      <c r="R414" s="16">
        <f t="shared" si="69"/>
        <v>0.806356557486215</v>
      </c>
      <c r="S414" s="16">
        <v>10.498687664042</v>
      </c>
    </row>
    <row r="415" spans="1:19">
      <c r="A415" s="5" t="s">
        <v>335</v>
      </c>
      <c r="B415" s="6">
        <v>152</v>
      </c>
      <c r="C415" s="6">
        <v>1.7</v>
      </c>
      <c r="D415" s="6">
        <v>500</v>
      </c>
      <c r="E415" s="6">
        <v>270</v>
      </c>
      <c r="F415" s="6">
        <v>73</v>
      </c>
      <c r="G415" s="5" t="s">
        <v>20</v>
      </c>
      <c r="H415" s="6">
        <v>1548</v>
      </c>
      <c r="I415" s="14">
        <f t="shared" si="60"/>
        <v>18145.8391671346</v>
      </c>
      <c r="J415" s="15">
        <f t="shared" si="61"/>
        <v>802.708338918729</v>
      </c>
      <c r="K415" s="15">
        <f t="shared" si="62"/>
        <v>17343.1308282159</v>
      </c>
      <c r="L415" s="15">
        <f t="shared" si="63"/>
        <v>0.0442364958448754</v>
      </c>
      <c r="M415" s="15">
        <f t="shared" si="64"/>
        <v>0.0462839349405579</v>
      </c>
      <c r="N415" s="16">
        <f t="shared" si="65"/>
        <v>89.4117647058824</v>
      </c>
      <c r="O415" s="16">
        <f t="shared" si="66"/>
        <v>216731.251508057</v>
      </c>
      <c r="P415" s="16">
        <f t="shared" si="67"/>
        <v>1266048.55045976</v>
      </c>
      <c r="Q415" s="16">
        <f t="shared" si="68"/>
        <v>3.6986301369863</v>
      </c>
      <c r="R415" s="16">
        <f t="shared" si="69"/>
        <v>0.171187156629461</v>
      </c>
      <c r="S415" s="16">
        <v>13.1578947368421</v>
      </c>
    </row>
    <row r="416" spans="1:19">
      <c r="A416" s="5" t="s">
        <v>336</v>
      </c>
      <c r="B416" s="6">
        <v>152</v>
      </c>
      <c r="C416" s="6">
        <v>1.7</v>
      </c>
      <c r="D416" s="6">
        <v>500</v>
      </c>
      <c r="E416" s="6">
        <v>270</v>
      </c>
      <c r="F416" s="6">
        <v>73</v>
      </c>
      <c r="G416" s="5" t="s">
        <v>20</v>
      </c>
      <c r="H416" s="6">
        <v>1448</v>
      </c>
      <c r="I416" s="14">
        <f t="shared" si="60"/>
        <v>18145.8391671346</v>
      </c>
      <c r="J416" s="15">
        <f t="shared" si="61"/>
        <v>802.708338918729</v>
      </c>
      <c r="K416" s="15">
        <f t="shared" si="62"/>
        <v>17343.1308282159</v>
      </c>
      <c r="L416" s="15">
        <f t="shared" si="63"/>
        <v>0.0442364958448754</v>
      </c>
      <c r="M416" s="15">
        <f t="shared" si="64"/>
        <v>0.0462839349405579</v>
      </c>
      <c r="N416" s="16">
        <f t="shared" si="65"/>
        <v>89.4117647058824</v>
      </c>
      <c r="O416" s="16">
        <f t="shared" si="66"/>
        <v>216731.251508057</v>
      </c>
      <c r="P416" s="16">
        <f t="shared" si="67"/>
        <v>1266048.55045976</v>
      </c>
      <c r="Q416" s="16">
        <f t="shared" si="68"/>
        <v>3.6986301369863</v>
      </c>
      <c r="R416" s="16">
        <f t="shared" si="69"/>
        <v>0.171187156629461</v>
      </c>
      <c r="S416" s="16">
        <v>13.1578947368421</v>
      </c>
    </row>
    <row r="417" spans="1:19">
      <c r="A417" s="5" t="s">
        <v>266</v>
      </c>
      <c r="B417" s="6">
        <v>114.3</v>
      </c>
      <c r="C417" s="6">
        <v>3.6</v>
      </c>
      <c r="D417" s="6">
        <v>250</v>
      </c>
      <c r="E417" s="6">
        <v>403</v>
      </c>
      <c r="F417" s="6">
        <v>173.5</v>
      </c>
      <c r="G417" s="5" t="s">
        <v>337</v>
      </c>
      <c r="H417" s="6">
        <v>2422</v>
      </c>
      <c r="I417" s="14">
        <f t="shared" si="60"/>
        <v>10260.8264517243</v>
      </c>
      <c r="J417" s="15">
        <f t="shared" si="61"/>
        <v>1251.98750430861</v>
      </c>
      <c r="K417" s="15">
        <f t="shared" si="62"/>
        <v>9008.83894741572</v>
      </c>
      <c r="L417" s="15">
        <f t="shared" si="63"/>
        <v>0.122016244032488</v>
      </c>
      <c r="M417" s="15">
        <f t="shared" si="64"/>
        <v>0.138973236353365</v>
      </c>
      <c r="N417" s="16">
        <f t="shared" si="65"/>
        <v>31.75</v>
      </c>
      <c r="O417" s="16">
        <f t="shared" si="66"/>
        <v>504550.964236368</v>
      </c>
      <c r="P417" s="16">
        <f t="shared" si="67"/>
        <v>1563033.55737663</v>
      </c>
      <c r="Q417" s="16">
        <f t="shared" si="68"/>
        <v>2.32276657060519</v>
      </c>
      <c r="R417" s="16">
        <f t="shared" si="69"/>
        <v>0.32280238761041</v>
      </c>
      <c r="S417" s="16">
        <v>8.74890638670166</v>
      </c>
    </row>
    <row r="418" spans="1:19">
      <c r="A418" s="5" t="s">
        <v>267</v>
      </c>
      <c r="B418" s="6">
        <v>114.3</v>
      </c>
      <c r="C418" s="6">
        <v>3.6</v>
      </c>
      <c r="D418" s="6">
        <v>250</v>
      </c>
      <c r="E418" s="6">
        <v>403</v>
      </c>
      <c r="F418" s="6">
        <v>173.5</v>
      </c>
      <c r="G418" s="5" t="s">
        <v>337</v>
      </c>
      <c r="H418" s="6">
        <v>2340</v>
      </c>
      <c r="I418" s="14">
        <f t="shared" si="60"/>
        <v>10260.8264517243</v>
      </c>
      <c r="J418" s="15">
        <f t="shared" si="61"/>
        <v>1251.98750430861</v>
      </c>
      <c r="K418" s="15">
        <f t="shared" si="62"/>
        <v>9008.83894741572</v>
      </c>
      <c r="L418" s="15">
        <f t="shared" si="63"/>
        <v>0.122016244032488</v>
      </c>
      <c r="M418" s="15">
        <f t="shared" si="64"/>
        <v>0.138973236353365</v>
      </c>
      <c r="N418" s="16">
        <f t="shared" si="65"/>
        <v>31.75</v>
      </c>
      <c r="O418" s="16">
        <f t="shared" si="66"/>
        <v>504550.964236368</v>
      </c>
      <c r="P418" s="16">
        <f t="shared" si="67"/>
        <v>1563033.55737663</v>
      </c>
      <c r="Q418" s="16">
        <f t="shared" si="68"/>
        <v>2.32276657060519</v>
      </c>
      <c r="R418" s="16">
        <f t="shared" si="69"/>
        <v>0.32280238761041</v>
      </c>
      <c r="S418" s="16">
        <v>8.74890638670166</v>
      </c>
    </row>
    <row r="419" spans="1:19">
      <c r="A419" s="5" t="s">
        <v>268</v>
      </c>
      <c r="B419" s="6">
        <v>114.3</v>
      </c>
      <c r="C419" s="6">
        <v>3.6</v>
      </c>
      <c r="D419" s="6">
        <v>250</v>
      </c>
      <c r="E419" s="6">
        <v>403</v>
      </c>
      <c r="F419" s="6">
        <v>184.2</v>
      </c>
      <c r="G419" s="5" t="s">
        <v>337</v>
      </c>
      <c r="H419" s="6">
        <v>2497</v>
      </c>
      <c r="I419" s="14">
        <f t="shared" si="60"/>
        <v>10260.8264517243</v>
      </c>
      <c r="J419" s="15">
        <f t="shared" si="61"/>
        <v>1251.98750430861</v>
      </c>
      <c r="K419" s="15">
        <f t="shared" si="62"/>
        <v>9008.83894741572</v>
      </c>
      <c r="L419" s="15">
        <f t="shared" si="63"/>
        <v>0.122016244032488</v>
      </c>
      <c r="M419" s="15">
        <f t="shared" si="64"/>
        <v>0.138973236353365</v>
      </c>
      <c r="N419" s="16">
        <f t="shared" si="65"/>
        <v>31.75</v>
      </c>
      <c r="O419" s="16">
        <f t="shared" si="66"/>
        <v>504550.964236368</v>
      </c>
      <c r="P419" s="16">
        <f t="shared" si="67"/>
        <v>1659428.13411398</v>
      </c>
      <c r="Q419" s="16">
        <f t="shared" si="68"/>
        <v>2.18783930510315</v>
      </c>
      <c r="R419" s="16">
        <f t="shared" si="69"/>
        <v>0.304051108851282</v>
      </c>
      <c r="S419" s="16">
        <v>8.74890638670166</v>
      </c>
    </row>
    <row r="420" spans="1:19">
      <c r="A420" s="5" t="s">
        <v>269</v>
      </c>
      <c r="B420" s="6">
        <v>114.3</v>
      </c>
      <c r="C420" s="6">
        <v>3.6</v>
      </c>
      <c r="D420" s="6">
        <v>250</v>
      </c>
      <c r="E420" s="6">
        <v>403</v>
      </c>
      <c r="F420" s="6">
        <v>184.2</v>
      </c>
      <c r="G420" s="5" t="s">
        <v>337</v>
      </c>
      <c r="H420" s="6">
        <v>2314</v>
      </c>
      <c r="I420" s="14">
        <f t="shared" si="60"/>
        <v>10260.8264517243</v>
      </c>
      <c r="J420" s="15">
        <f t="shared" si="61"/>
        <v>1251.98750430861</v>
      </c>
      <c r="K420" s="15">
        <f t="shared" si="62"/>
        <v>9008.83894741572</v>
      </c>
      <c r="L420" s="15">
        <f t="shared" si="63"/>
        <v>0.122016244032488</v>
      </c>
      <c r="M420" s="15">
        <f t="shared" si="64"/>
        <v>0.138973236353365</v>
      </c>
      <c r="N420" s="16">
        <f t="shared" si="65"/>
        <v>31.75</v>
      </c>
      <c r="O420" s="16">
        <f t="shared" si="66"/>
        <v>504550.964236368</v>
      </c>
      <c r="P420" s="16">
        <f t="shared" si="67"/>
        <v>1659428.13411398</v>
      </c>
      <c r="Q420" s="16">
        <f t="shared" si="68"/>
        <v>2.18783930510315</v>
      </c>
      <c r="R420" s="16">
        <f t="shared" si="69"/>
        <v>0.304051108851282</v>
      </c>
      <c r="S420" s="16">
        <v>8.74890638670166</v>
      </c>
    </row>
    <row r="421" spans="1:19">
      <c r="A421" s="5" t="s">
        <v>270</v>
      </c>
      <c r="B421" s="6">
        <v>114.3</v>
      </c>
      <c r="C421" s="6">
        <v>3.6</v>
      </c>
      <c r="D421" s="6">
        <v>250</v>
      </c>
      <c r="E421" s="6">
        <v>428</v>
      </c>
      <c r="F421" s="6">
        <v>173.5</v>
      </c>
      <c r="G421" s="5" t="s">
        <v>337</v>
      </c>
      <c r="H421" s="6">
        <v>2610</v>
      </c>
      <c r="I421" s="14">
        <f t="shared" si="60"/>
        <v>10260.8264517243</v>
      </c>
      <c r="J421" s="15">
        <f t="shared" si="61"/>
        <v>1251.98750430861</v>
      </c>
      <c r="K421" s="15">
        <f t="shared" si="62"/>
        <v>9008.83894741572</v>
      </c>
      <c r="L421" s="15">
        <f t="shared" si="63"/>
        <v>0.122016244032488</v>
      </c>
      <c r="M421" s="15">
        <f t="shared" si="64"/>
        <v>0.138973236353365</v>
      </c>
      <c r="N421" s="16">
        <f t="shared" si="65"/>
        <v>31.75</v>
      </c>
      <c r="O421" s="16">
        <f t="shared" si="66"/>
        <v>535850.651844083</v>
      </c>
      <c r="P421" s="16">
        <f t="shared" si="67"/>
        <v>1563033.55737663</v>
      </c>
      <c r="Q421" s="16">
        <f t="shared" si="68"/>
        <v>2.46685878962536</v>
      </c>
      <c r="R421" s="16">
        <f t="shared" si="69"/>
        <v>0.342827349620981</v>
      </c>
      <c r="S421" s="16">
        <v>8.74890638670166</v>
      </c>
    </row>
    <row r="422" spans="1:19">
      <c r="A422" s="5" t="s">
        <v>271</v>
      </c>
      <c r="B422" s="6">
        <v>114.3</v>
      </c>
      <c r="C422" s="6">
        <v>3.6</v>
      </c>
      <c r="D422" s="6">
        <v>250</v>
      </c>
      <c r="E422" s="6">
        <v>428</v>
      </c>
      <c r="F422" s="6">
        <v>173.5</v>
      </c>
      <c r="G422" s="5" t="s">
        <v>337</v>
      </c>
      <c r="H422" s="6">
        <v>2633</v>
      </c>
      <c r="I422" s="14">
        <f t="shared" si="60"/>
        <v>10260.8264517243</v>
      </c>
      <c r="J422" s="15">
        <f t="shared" si="61"/>
        <v>1251.98750430861</v>
      </c>
      <c r="K422" s="15">
        <f t="shared" si="62"/>
        <v>9008.83894741572</v>
      </c>
      <c r="L422" s="15">
        <f t="shared" si="63"/>
        <v>0.122016244032488</v>
      </c>
      <c r="M422" s="15">
        <f t="shared" si="64"/>
        <v>0.138973236353365</v>
      </c>
      <c r="N422" s="16">
        <f t="shared" si="65"/>
        <v>31.75</v>
      </c>
      <c r="O422" s="16">
        <f t="shared" si="66"/>
        <v>535850.651844083</v>
      </c>
      <c r="P422" s="16">
        <f t="shared" si="67"/>
        <v>1563033.55737663</v>
      </c>
      <c r="Q422" s="16">
        <f t="shared" si="68"/>
        <v>2.46685878962536</v>
      </c>
      <c r="R422" s="16">
        <f t="shared" si="69"/>
        <v>0.342827349620981</v>
      </c>
      <c r="S422" s="16">
        <v>8.74890638670166</v>
      </c>
    </row>
    <row r="423" spans="1:19">
      <c r="A423" s="5" t="s">
        <v>272</v>
      </c>
      <c r="B423" s="6">
        <v>219.1</v>
      </c>
      <c r="C423" s="6">
        <v>5</v>
      </c>
      <c r="D423" s="6">
        <v>600</v>
      </c>
      <c r="E423" s="6">
        <v>380</v>
      </c>
      <c r="F423" s="6">
        <v>51.6</v>
      </c>
      <c r="G423" s="5" t="s">
        <v>337</v>
      </c>
      <c r="H423" s="6">
        <v>3118</v>
      </c>
      <c r="I423" s="14">
        <f t="shared" si="60"/>
        <v>37702.8896082435</v>
      </c>
      <c r="J423" s="15">
        <f t="shared" si="61"/>
        <v>3363.07493566787</v>
      </c>
      <c r="K423" s="15">
        <f t="shared" si="62"/>
        <v>34339.8146725756</v>
      </c>
      <c r="L423" s="15">
        <f t="shared" si="63"/>
        <v>0.089199394810645</v>
      </c>
      <c r="M423" s="15">
        <f t="shared" si="64"/>
        <v>0.0979351510115658</v>
      </c>
      <c r="N423" s="16">
        <f t="shared" si="65"/>
        <v>43.82</v>
      </c>
      <c r="O423" s="16">
        <f t="shared" si="66"/>
        <v>1277968.47555379</v>
      </c>
      <c r="P423" s="16">
        <f t="shared" si="67"/>
        <v>1771934.4371049</v>
      </c>
      <c r="Q423" s="16">
        <f t="shared" si="68"/>
        <v>7.36434108527132</v>
      </c>
      <c r="R423" s="16">
        <f t="shared" si="69"/>
        <v>0.721227856286725</v>
      </c>
      <c r="S423" s="16">
        <v>10.9539023277042</v>
      </c>
    </row>
    <row r="424" spans="1:19">
      <c r="A424" s="5" t="s">
        <v>273</v>
      </c>
      <c r="B424" s="6">
        <v>219.1</v>
      </c>
      <c r="C424" s="6">
        <v>5</v>
      </c>
      <c r="D424" s="6">
        <v>600</v>
      </c>
      <c r="E424" s="6">
        <v>380</v>
      </c>
      <c r="F424" s="6">
        <v>185.1</v>
      </c>
      <c r="G424" s="5" t="s">
        <v>337</v>
      </c>
      <c r="H424" s="6">
        <v>7837</v>
      </c>
      <c r="I424" s="14">
        <f t="shared" si="60"/>
        <v>37702.8896082435</v>
      </c>
      <c r="J424" s="15">
        <f t="shared" si="61"/>
        <v>3363.07493566787</v>
      </c>
      <c r="K424" s="15">
        <f t="shared" si="62"/>
        <v>34339.8146725756</v>
      </c>
      <c r="L424" s="15">
        <f t="shared" si="63"/>
        <v>0.089199394810645</v>
      </c>
      <c r="M424" s="15">
        <f t="shared" si="64"/>
        <v>0.0979351510115658</v>
      </c>
      <c r="N424" s="16">
        <f t="shared" si="65"/>
        <v>43.82</v>
      </c>
      <c r="O424" s="16">
        <f t="shared" si="66"/>
        <v>1277968.47555379</v>
      </c>
      <c r="P424" s="16">
        <f t="shared" si="67"/>
        <v>6356299.69589374</v>
      </c>
      <c r="Q424" s="16">
        <f t="shared" si="68"/>
        <v>2.05294435440303</v>
      </c>
      <c r="R424" s="16">
        <f t="shared" si="69"/>
        <v>0.201055415366802</v>
      </c>
      <c r="S424" s="16">
        <v>10.9539023277042</v>
      </c>
    </row>
    <row r="425" spans="1:19">
      <c r="A425" s="5" t="s">
        <v>274</v>
      </c>
      <c r="B425" s="6">
        <v>219.1</v>
      </c>
      <c r="C425" s="6">
        <v>5</v>
      </c>
      <c r="D425" s="6">
        <v>600</v>
      </c>
      <c r="E425" s="6">
        <v>380</v>
      </c>
      <c r="F425" s="6">
        <v>193.3</v>
      </c>
      <c r="G425" s="5" t="s">
        <v>337</v>
      </c>
      <c r="H425" s="6">
        <v>8664</v>
      </c>
      <c r="I425" s="14">
        <f t="shared" si="60"/>
        <v>37702.8896082435</v>
      </c>
      <c r="J425" s="15">
        <f t="shared" si="61"/>
        <v>3363.07493566787</v>
      </c>
      <c r="K425" s="15">
        <f t="shared" si="62"/>
        <v>34339.8146725756</v>
      </c>
      <c r="L425" s="15">
        <f t="shared" si="63"/>
        <v>0.089199394810645</v>
      </c>
      <c r="M425" s="15">
        <f t="shared" si="64"/>
        <v>0.0979351510115658</v>
      </c>
      <c r="N425" s="16">
        <f t="shared" si="65"/>
        <v>43.82</v>
      </c>
      <c r="O425" s="16">
        <f t="shared" si="66"/>
        <v>1277968.47555379</v>
      </c>
      <c r="P425" s="16">
        <f t="shared" si="67"/>
        <v>6637886.17620886</v>
      </c>
      <c r="Q425" s="16">
        <f t="shared" si="68"/>
        <v>1.96585618210036</v>
      </c>
      <c r="R425" s="16">
        <f t="shared" si="69"/>
        <v>0.192526422061019</v>
      </c>
      <c r="S425" s="16">
        <v>10.9539023277042</v>
      </c>
    </row>
    <row r="426" spans="1:19">
      <c r="A426" s="5" t="s">
        <v>275</v>
      </c>
      <c r="B426" s="6">
        <v>219.1</v>
      </c>
      <c r="C426" s="6">
        <v>10</v>
      </c>
      <c r="D426" s="6">
        <v>600</v>
      </c>
      <c r="E426" s="6">
        <v>381</v>
      </c>
      <c r="F426" s="6">
        <v>51.6</v>
      </c>
      <c r="G426" s="5" t="s">
        <v>337</v>
      </c>
      <c r="H426" s="6">
        <v>5241</v>
      </c>
      <c r="I426" s="14">
        <f t="shared" si="60"/>
        <v>37702.8896082435</v>
      </c>
      <c r="J426" s="15">
        <f t="shared" si="61"/>
        <v>6569.07023865626</v>
      </c>
      <c r="K426" s="15">
        <f t="shared" si="62"/>
        <v>31133.8193695872</v>
      </c>
      <c r="L426" s="15">
        <f t="shared" si="63"/>
        <v>0.174232540447509</v>
      </c>
      <c r="M426" s="15">
        <f t="shared" si="64"/>
        <v>0.210994679472998</v>
      </c>
      <c r="N426" s="16">
        <f t="shared" si="65"/>
        <v>21.91</v>
      </c>
      <c r="O426" s="16">
        <f t="shared" si="66"/>
        <v>2502815.76092803</v>
      </c>
      <c r="P426" s="16">
        <f t="shared" si="67"/>
        <v>1606505.0794707</v>
      </c>
      <c r="Q426" s="16">
        <f t="shared" si="68"/>
        <v>7.38372093023256</v>
      </c>
      <c r="R426" s="16">
        <f t="shared" si="69"/>
        <v>1.55792583099248</v>
      </c>
      <c r="S426" s="16">
        <v>10.9539023277042</v>
      </c>
    </row>
    <row r="427" spans="1:19">
      <c r="A427" s="5" t="s">
        <v>276</v>
      </c>
      <c r="B427" s="6">
        <v>219.1</v>
      </c>
      <c r="C427" s="6">
        <v>10</v>
      </c>
      <c r="D427" s="6">
        <v>600</v>
      </c>
      <c r="E427" s="6">
        <v>381</v>
      </c>
      <c r="F427" s="6">
        <v>185.1</v>
      </c>
      <c r="G427" s="5" t="s">
        <v>337</v>
      </c>
      <c r="H427" s="6">
        <v>9085</v>
      </c>
      <c r="I427" s="14">
        <f t="shared" si="60"/>
        <v>37702.8896082435</v>
      </c>
      <c r="J427" s="15">
        <f t="shared" si="61"/>
        <v>6569.07023865626</v>
      </c>
      <c r="K427" s="15">
        <f t="shared" si="62"/>
        <v>31133.8193695872</v>
      </c>
      <c r="L427" s="15">
        <f t="shared" si="63"/>
        <v>0.174232540447509</v>
      </c>
      <c r="M427" s="15">
        <f t="shared" si="64"/>
        <v>0.210994679472998</v>
      </c>
      <c r="N427" s="16">
        <f t="shared" si="65"/>
        <v>21.91</v>
      </c>
      <c r="O427" s="16">
        <f t="shared" si="66"/>
        <v>2502815.76092803</v>
      </c>
      <c r="P427" s="16">
        <f t="shared" si="67"/>
        <v>5762869.96531059</v>
      </c>
      <c r="Q427" s="16">
        <f t="shared" si="68"/>
        <v>2.05834683954619</v>
      </c>
      <c r="R427" s="16">
        <f t="shared" si="69"/>
        <v>0.434300231654306</v>
      </c>
      <c r="S427" s="16">
        <v>10.9539023277042</v>
      </c>
    </row>
    <row r="428" spans="1:19">
      <c r="A428" s="5" t="s">
        <v>277</v>
      </c>
      <c r="B428" s="6">
        <v>219.1</v>
      </c>
      <c r="C428" s="6">
        <v>10</v>
      </c>
      <c r="D428" s="6">
        <v>600</v>
      </c>
      <c r="E428" s="6">
        <v>381</v>
      </c>
      <c r="F428" s="6">
        <v>193.3</v>
      </c>
      <c r="G428" s="5" t="s">
        <v>337</v>
      </c>
      <c r="H428" s="6">
        <v>9187</v>
      </c>
      <c r="I428" s="14">
        <f t="shared" si="60"/>
        <v>37702.8896082435</v>
      </c>
      <c r="J428" s="15">
        <f t="shared" si="61"/>
        <v>6569.07023865626</v>
      </c>
      <c r="K428" s="15">
        <f t="shared" si="62"/>
        <v>31133.8193695872</v>
      </c>
      <c r="L428" s="15">
        <f t="shared" si="63"/>
        <v>0.174232540447509</v>
      </c>
      <c r="M428" s="15">
        <f t="shared" si="64"/>
        <v>0.210994679472998</v>
      </c>
      <c r="N428" s="16">
        <f t="shared" si="65"/>
        <v>21.91</v>
      </c>
      <c r="O428" s="16">
        <f t="shared" si="66"/>
        <v>2502815.76092803</v>
      </c>
      <c r="P428" s="16">
        <f t="shared" si="67"/>
        <v>6018167.28414121</v>
      </c>
      <c r="Q428" s="16">
        <f t="shared" si="68"/>
        <v>1.97102948784273</v>
      </c>
      <c r="R428" s="16">
        <f t="shared" si="69"/>
        <v>0.415876735019204</v>
      </c>
      <c r="S428" s="16">
        <v>10.9539023277042</v>
      </c>
    </row>
    <row r="429" spans="1:19">
      <c r="A429" s="5" t="s">
        <v>278</v>
      </c>
      <c r="B429" s="6">
        <v>219.1</v>
      </c>
      <c r="C429" s="6">
        <v>6.3</v>
      </c>
      <c r="D429" s="6">
        <v>600</v>
      </c>
      <c r="E429" s="6">
        <v>300</v>
      </c>
      <c r="F429" s="6">
        <v>163</v>
      </c>
      <c r="G429" s="5" t="s">
        <v>337</v>
      </c>
      <c r="H429" s="6">
        <v>6915</v>
      </c>
      <c r="I429" s="14">
        <f t="shared" si="60"/>
        <v>37702.8896082435</v>
      </c>
      <c r="J429" s="15">
        <f t="shared" si="61"/>
        <v>4211.74477510862</v>
      </c>
      <c r="K429" s="15">
        <f t="shared" si="62"/>
        <v>33491.1448331348</v>
      </c>
      <c r="L429" s="15">
        <f t="shared" si="63"/>
        <v>0.111708805846747</v>
      </c>
      <c r="M429" s="15">
        <f t="shared" si="64"/>
        <v>0.125756966388969</v>
      </c>
      <c r="N429" s="16">
        <f t="shared" si="65"/>
        <v>34.7777777777778</v>
      </c>
      <c r="O429" s="16">
        <f t="shared" si="66"/>
        <v>1263523.43253259</v>
      </c>
      <c r="P429" s="16">
        <f t="shared" si="67"/>
        <v>5459056.60780098</v>
      </c>
      <c r="Q429" s="16">
        <f t="shared" si="68"/>
        <v>1.84049079754601</v>
      </c>
      <c r="R429" s="16">
        <f t="shared" si="69"/>
        <v>0.2314545393662</v>
      </c>
      <c r="S429" s="16">
        <v>10.9539023277042</v>
      </c>
    </row>
    <row r="430" spans="1:19">
      <c r="A430" s="5" t="s">
        <v>338</v>
      </c>
      <c r="B430" s="6">
        <v>219.1</v>
      </c>
      <c r="C430" s="6">
        <v>6.3</v>
      </c>
      <c r="D430" s="6">
        <v>600</v>
      </c>
      <c r="E430" s="6">
        <v>300</v>
      </c>
      <c r="F430" s="6">
        <v>175.4</v>
      </c>
      <c r="G430" s="5" t="s">
        <v>337</v>
      </c>
      <c r="H430" s="6">
        <v>7407</v>
      </c>
      <c r="I430" s="14">
        <f t="shared" si="60"/>
        <v>37702.8896082435</v>
      </c>
      <c r="J430" s="15">
        <f t="shared" si="61"/>
        <v>4211.74477510862</v>
      </c>
      <c r="K430" s="15">
        <f t="shared" si="62"/>
        <v>33491.1448331348</v>
      </c>
      <c r="L430" s="15">
        <f t="shared" si="63"/>
        <v>0.111708805846747</v>
      </c>
      <c r="M430" s="15">
        <f t="shared" si="64"/>
        <v>0.125756966388969</v>
      </c>
      <c r="N430" s="16">
        <f t="shared" si="65"/>
        <v>34.7777777777778</v>
      </c>
      <c r="O430" s="16">
        <f t="shared" si="66"/>
        <v>1263523.43253259</v>
      </c>
      <c r="P430" s="16">
        <f t="shared" si="67"/>
        <v>5874346.80373185</v>
      </c>
      <c r="Q430" s="16">
        <f t="shared" si="68"/>
        <v>1.71037628278221</v>
      </c>
      <c r="R430" s="16">
        <f t="shared" si="69"/>
        <v>0.215091732706332</v>
      </c>
      <c r="S430" s="16">
        <v>10.9539023277042</v>
      </c>
    </row>
    <row r="431" spans="1:19">
      <c r="A431" s="5" t="s">
        <v>339</v>
      </c>
      <c r="B431" s="6">
        <v>219.1</v>
      </c>
      <c r="C431" s="6">
        <v>6.3</v>
      </c>
      <c r="D431" s="6">
        <v>600</v>
      </c>
      <c r="E431" s="6">
        <v>300</v>
      </c>
      <c r="F431" s="6">
        <v>148.8</v>
      </c>
      <c r="G431" s="5" t="s">
        <v>337</v>
      </c>
      <c r="H431" s="6">
        <v>6838</v>
      </c>
      <c r="I431" s="14">
        <f t="shared" si="60"/>
        <v>37702.8896082435</v>
      </c>
      <c r="J431" s="15">
        <f t="shared" si="61"/>
        <v>4211.74477510862</v>
      </c>
      <c r="K431" s="15">
        <f t="shared" si="62"/>
        <v>33491.1448331348</v>
      </c>
      <c r="L431" s="15">
        <f t="shared" si="63"/>
        <v>0.111708805846747</v>
      </c>
      <c r="M431" s="15">
        <f t="shared" si="64"/>
        <v>0.125756966388969</v>
      </c>
      <c r="N431" s="16">
        <f t="shared" si="65"/>
        <v>34.7777777777778</v>
      </c>
      <c r="O431" s="16">
        <f t="shared" si="66"/>
        <v>1263523.43253259</v>
      </c>
      <c r="P431" s="16">
        <f t="shared" si="67"/>
        <v>4983482.35117046</v>
      </c>
      <c r="Q431" s="16">
        <f t="shared" si="68"/>
        <v>2.01612903225806</v>
      </c>
      <c r="R431" s="16">
        <f t="shared" si="69"/>
        <v>0.253542270945501</v>
      </c>
      <c r="S431" s="16">
        <v>10.9539023277042</v>
      </c>
    </row>
    <row r="432" spans="1:19">
      <c r="A432" s="5" t="s">
        <v>340</v>
      </c>
      <c r="B432" s="6">
        <v>219.1</v>
      </c>
      <c r="C432" s="6">
        <v>6.3</v>
      </c>
      <c r="D432" s="6">
        <v>600</v>
      </c>
      <c r="E432" s="6">
        <v>300</v>
      </c>
      <c r="F432" s="6">
        <v>174.5</v>
      </c>
      <c r="G432" s="5" t="s">
        <v>337</v>
      </c>
      <c r="H432" s="6">
        <v>7569</v>
      </c>
      <c r="I432" s="14">
        <f t="shared" si="60"/>
        <v>37702.8896082435</v>
      </c>
      <c r="J432" s="15">
        <f t="shared" si="61"/>
        <v>4211.74477510862</v>
      </c>
      <c r="K432" s="15">
        <f t="shared" si="62"/>
        <v>33491.1448331348</v>
      </c>
      <c r="L432" s="15">
        <f t="shared" si="63"/>
        <v>0.111708805846747</v>
      </c>
      <c r="M432" s="15">
        <f t="shared" si="64"/>
        <v>0.125756966388969</v>
      </c>
      <c r="N432" s="16">
        <f t="shared" si="65"/>
        <v>34.7777777777778</v>
      </c>
      <c r="O432" s="16">
        <f t="shared" si="66"/>
        <v>1263523.43253259</v>
      </c>
      <c r="P432" s="16">
        <f t="shared" si="67"/>
        <v>5844204.77338203</v>
      </c>
      <c r="Q432" s="16">
        <f t="shared" si="68"/>
        <v>1.71919770773639</v>
      </c>
      <c r="R432" s="16">
        <f t="shared" si="69"/>
        <v>0.216201088347797</v>
      </c>
      <c r="S432" s="16">
        <v>10.9539023277042</v>
      </c>
    </row>
    <row r="433" spans="1:19">
      <c r="A433" s="5" t="s">
        <v>341</v>
      </c>
      <c r="B433" s="6">
        <v>165</v>
      </c>
      <c r="C433" s="6">
        <v>2.37</v>
      </c>
      <c r="D433" s="6">
        <v>615</v>
      </c>
      <c r="E433" s="6">
        <v>287.5</v>
      </c>
      <c r="F433" s="6">
        <v>30.2</v>
      </c>
      <c r="G433" s="5" t="s">
        <v>265</v>
      </c>
      <c r="H433" s="6">
        <v>1008</v>
      </c>
      <c r="I433" s="14">
        <f t="shared" si="60"/>
        <v>21382.4649984955</v>
      </c>
      <c r="J433" s="15">
        <f t="shared" si="61"/>
        <v>1210.87379541034</v>
      </c>
      <c r="K433" s="15">
        <f t="shared" si="62"/>
        <v>20171.5912030852</v>
      </c>
      <c r="L433" s="15">
        <f t="shared" si="63"/>
        <v>0.0566292892561985</v>
      </c>
      <c r="M433" s="15">
        <f t="shared" si="64"/>
        <v>0.060028670183696</v>
      </c>
      <c r="N433" s="16">
        <f t="shared" si="65"/>
        <v>69.620253164557</v>
      </c>
      <c r="O433" s="16">
        <f t="shared" si="66"/>
        <v>348126.216180474</v>
      </c>
      <c r="P433" s="16">
        <f t="shared" si="67"/>
        <v>609182.054333173</v>
      </c>
      <c r="Q433" s="16">
        <f t="shared" si="68"/>
        <v>9.51986754966887</v>
      </c>
      <c r="R433" s="16">
        <f t="shared" si="69"/>
        <v>0.571464989331543</v>
      </c>
      <c r="S433" s="16">
        <v>14.9090909090909</v>
      </c>
    </row>
    <row r="434" spans="1:19">
      <c r="A434" s="5" t="s">
        <v>342</v>
      </c>
      <c r="B434" s="6">
        <v>165</v>
      </c>
      <c r="C434" s="6">
        <v>2.37</v>
      </c>
      <c r="D434" s="6">
        <v>615</v>
      </c>
      <c r="E434" s="6">
        <v>287.5</v>
      </c>
      <c r="F434" s="6">
        <v>30.2</v>
      </c>
      <c r="G434" s="5" t="s">
        <v>265</v>
      </c>
      <c r="H434" s="6">
        <v>996</v>
      </c>
      <c r="I434" s="14">
        <f t="shared" si="60"/>
        <v>21382.4649984955</v>
      </c>
      <c r="J434" s="15">
        <f t="shared" si="61"/>
        <v>1210.87379541034</v>
      </c>
      <c r="K434" s="15">
        <f t="shared" si="62"/>
        <v>20171.5912030852</v>
      </c>
      <c r="L434" s="15">
        <f t="shared" si="63"/>
        <v>0.0566292892561985</v>
      </c>
      <c r="M434" s="15">
        <f t="shared" si="64"/>
        <v>0.060028670183696</v>
      </c>
      <c r="N434" s="16">
        <f t="shared" si="65"/>
        <v>69.620253164557</v>
      </c>
      <c r="O434" s="16">
        <f t="shared" si="66"/>
        <v>348126.216180474</v>
      </c>
      <c r="P434" s="16">
        <f t="shared" si="67"/>
        <v>609182.054333173</v>
      </c>
      <c r="Q434" s="16">
        <f t="shared" si="68"/>
        <v>9.51986754966887</v>
      </c>
      <c r="R434" s="16">
        <f t="shared" si="69"/>
        <v>0.571464989331543</v>
      </c>
      <c r="S434" s="16">
        <v>14.9090909090909</v>
      </c>
    </row>
    <row r="435" spans="1:19">
      <c r="A435" s="5" t="s">
        <v>343</v>
      </c>
      <c r="B435" s="6">
        <v>558.1</v>
      </c>
      <c r="C435" s="6">
        <v>16.53</v>
      </c>
      <c r="D435" s="6">
        <v>997.5</v>
      </c>
      <c r="E435" s="6">
        <v>546</v>
      </c>
      <c r="F435" s="6">
        <v>31.7</v>
      </c>
      <c r="G435" s="5" t="s">
        <v>265</v>
      </c>
      <c r="H435" s="6">
        <v>29050</v>
      </c>
      <c r="I435" s="14">
        <f t="shared" si="60"/>
        <v>244632.3720371</v>
      </c>
      <c r="J435" s="15">
        <f t="shared" si="61"/>
        <v>28124.0152711785</v>
      </c>
      <c r="K435" s="15">
        <f t="shared" si="62"/>
        <v>216508.356765921</v>
      </c>
      <c r="L435" s="15">
        <f t="shared" si="63"/>
        <v>0.114964405720243</v>
      </c>
      <c r="M435" s="15">
        <f t="shared" si="64"/>
        <v>0.129898058861464</v>
      </c>
      <c r="N435" s="16">
        <f t="shared" si="65"/>
        <v>33.7628554143981</v>
      </c>
      <c r="O435" s="16">
        <f t="shared" si="66"/>
        <v>15355712.3380635</v>
      </c>
      <c r="P435" s="16">
        <f t="shared" si="67"/>
        <v>6863314.90947971</v>
      </c>
      <c r="Q435" s="16">
        <f t="shared" si="68"/>
        <v>17.2239747634069</v>
      </c>
      <c r="R435" s="16">
        <f t="shared" si="69"/>
        <v>2.2373608876454</v>
      </c>
      <c r="S435" s="16">
        <v>7.14925640566207</v>
      </c>
    </row>
    <row r="436" spans="1:19">
      <c r="A436" s="5" t="s">
        <v>344</v>
      </c>
      <c r="B436" s="6">
        <v>557.65</v>
      </c>
      <c r="C436" s="6">
        <v>16.52</v>
      </c>
      <c r="D436" s="6">
        <v>994.9</v>
      </c>
      <c r="E436" s="6">
        <v>546</v>
      </c>
      <c r="F436" s="6">
        <v>31.7</v>
      </c>
      <c r="G436" s="5" t="s">
        <v>265</v>
      </c>
      <c r="H436" s="6">
        <v>28830</v>
      </c>
      <c r="I436" s="14">
        <f t="shared" si="60"/>
        <v>244238.033436735</v>
      </c>
      <c r="J436" s="15">
        <f t="shared" si="61"/>
        <v>28084.1657391639</v>
      </c>
      <c r="K436" s="15">
        <f t="shared" si="62"/>
        <v>216153.867697571</v>
      </c>
      <c r="L436" s="15">
        <f t="shared" si="63"/>
        <v>0.114986864838308</v>
      </c>
      <c r="M436" s="15">
        <f t="shared" si="64"/>
        <v>0.129926732462903</v>
      </c>
      <c r="N436" s="16">
        <f t="shared" si="65"/>
        <v>33.7560532687651</v>
      </c>
      <c r="O436" s="16">
        <f t="shared" si="66"/>
        <v>15333954.4935835</v>
      </c>
      <c r="P436" s="16">
        <f t="shared" si="67"/>
        <v>6852077.606013</v>
      </c>
      <c r="Q436" s="16">
        <f t="shared" si="68"/>
        <v>17.2239747634069</v>
      </c>
      <c r="R436" s="16">
        <f t="shared" si="69"/>
        <v>2.23785476103296</v>
      </c>
      <c r="S436" s="16">
        <v>7.1363758629965</v>
      </c>
    </row>
    <row r="437" spans="1:19">
      <c r="A437" s="5" t="s">
        <v>345</v>
      </c>
      <c r="B437" s="6">
        <v>559.4</v>
      </c>
      <c r="C437" s="6">
        <v>16.54</v>
      </c>
      <c r="D437" s="6">
        <v>994.85</v>
      </c>
      <c r="E437" s="6">
        <v>546</v>
      </c>
      <c r="F437" s="6">
        <v>31.7</v>
      </c>
      <c r="G437" s="5" t="s">
        <v>265</v>
      </c>
      <c r="H437" s="6">
        <v>29590</v>
      </c>
      <c r="I437" s="14">
        <f t="shared" si="60"/>
        <v>245773.359218975</v>
      </c>
      <c r="J437" s="15">
        <f t="shared" si="61"/>
        <v>28208.0601003251</v>
      </c>
      <c r="K437" s="15">
        <f t="shared" si="62"/>
        <v>217565.29911865</v>
      </c>
      <c r="L437" s="15">
        <f t="shared" si="63"/>
        <v>0.114772651478441</v>
      </c>
      <c r="M437" s="15">
        <f t="shared" si="64"/>
        <v>0.129653305074821</v>
      </c>
      <c r="N437" s="16">
        <f t="shared" si="65"/>
        <v>33.8210399032648</v>
      </c>
      <c r="O437" s="16">
        <f t="shared" si="66"/>
        <v>15401600.8147775</v>
      </c>
      <c r="P437" s="16">
        <f t="shared" si="67"/>
        <v>6896819.98206122</v>
      </c>
      <c r="Q437" s="16">
        <f t="shared" si="68"/>
        <v>17.2239747634069</v>
      </c>
      <c r="R437" s="16">
        <f t="shared" si="69"/>
        <v>2.23314525460102</v>
      </c>
      <c r="S437" s="16">
        <v>7.1136932427601</v>
      </c>
    </row>
    <row r="438" spans="1:19">
      <c r="A438" s="5" t="s">
        <v>346</v>
      </c>
      <c r="B438" s="6">
        <v>114.3</v>
      </c>
      <c r="C438" s="6">
        <v>3.6</v>
      </c>
      <c r="D438" s="6">
        <v>250</v>
      </c>
      <c r="E438" s="6">
        <v>403</v>
      </c>
      <c r="F438" s="6">
        <v>173.5</v>
      </c>
      <c r="G438" s="5" t="s">
        <v>337</v>
      </c>
      <c r="H438" s="6">
        <v>2422</v>
      </c>
      <c r="I438" s="14">
        <f t="shared" si="60"/>
        <v>10260.8264517243</v>
      </c>
      <c r="J438" s="15">
        <f t="shared" si="61"/>
        <v>1251.98750430861</v>
      </c>
      <c r="K438" s="15">
        <f t="shared" si="62"/>
        <v>9008.83894741572</v>
      </c>
      <c r="L438" s="15">
        <f t="shared" si="63"/>
        <v>0.122016244032488</v>
      </c>
      <c r="M438" s="15">
        <f t="shared" si="64"/>
        <v>0.138973236353365</v>
      </c>
      <c r="N438" s="16">
        <f t="shared" si="65"/>
        <v>31.75</v>
      </c>
      <c r="O438" s="16">
        <f t="shared" si="66"/>
        <v>504550.964236368</v>
      </c>
      <c r="P438" s="16">
        <f t="shared" si="67"/>
        <v>1563033.55737663</v>
      </c>
      <c r="Q438" s="16">
        <f t="shared" si="68"/>
        <v>2.32276657060519</v>
      </c>
      <c r="R438" s="16">
        <f t="shared" si="69"/>
        <v>0.32280238761041</v>
      </c>
      <c r="S438" s="16">
        <v>8.74890638670166</v>
      </c>
    </row>
    <row r="439" spans="1:19">
      <c r="A439" s="5" t="s">
        <v>347</v>
      </c>
      <c r="B439" s="6">
        <v>114.3</v>
      </c>
      <c r="C439" s="6">
        <v>3.6</v>
      </c>
      <c r="D439" s="6">
        <v>250</v>
      </c>
      <c r="E439" s="6">
        <v>403</v>
      </c>
      <c r="F439" s="6">
        <v>173.5</v>
      </c>
      <c r="G439" s="5" t="s">
        <v>337</v>
      </c>
      <c r="H439" s="6">
        <v>2340</v>
      </c>
      <c r="I439" s="14">
        <f t="shared" si="60"/>
        <v>10260.8264517243</v>
      </c>
      <c r="J439" s="15">
        <f t="shared" si="61"/>
        <v>1251.98750430861</v>
      </c>
      <c r="K439" s="15">
        <f t="shared" si="62"/>
        <v>9008.83894741572</v>
      </c>
      <c r="L439" s="15">
        <f t="shared" si="63"/>
        <v>0.122016244032488</v>
      </c>
      <c r="M439" s="15">
        <f t="shared" si="64"/>
        <v>0.138973236353365</v>
      </c>
      <c r="N439" s="16">
        <f t="shared" si="65"/>
        <v>31.75</v>
      </c>
      <c r="O439" s="16">
        <f t="shared" si="66"/>
        <v>504550.964236368</v>
      </c>
      <c r="P439" s="16">
        <f t="shared" si="67"/>
        <v>1563033.55737663</v>
      </c>
      <c r="Q439" s="16">
        <f t="shared" si="68"/>
        <v>2.32276657060519</v>
      </c>
      <c r="R439" s="16">
        <f t="shared" si="69"/>
        <v>0.32280238761041</v>
      </c>
      <c r="S439" s="16">
        <v>8.74890638670166</v>
      </c>
    </row>
    <row r="440" spans="1:19">
      <c r="A440" s="5" t="s">
        <v>348</v>
      </c>
      <c r="B440" s="6">
        <v>114.3</v>
      </c>
      <c r="C440" s="6">
        <v>3.6</v>
      </c>
      <c r="D440" s="6">
        <v>250</v>
      </c>
      <c r="E440" s="6">
        <v>403</v>
      </c>
      <c r="F440" s="6">
        <v>184.2</v>
      </c>
      <c r="G440" s="5" t="s">
        <v>337</v>
      </c>
      <c r="H440" s="6">
        <v>2497</v>
      </c>
      <c r="I440" s="14">
        <f t="shared" si="60"/>
        <v>10260.8264517243</v>
      </c>
      <c r="J440" s="15">
        <f t="shared" si="61"/>
        <v>1251.98750430861</v>
      </c>
      <c r="K440" s="15">
        <f t="shared" si="62"/>
        <v>9008.83894741572</v>
      </c>
      <c r="L440" s="15">
        <f t="shared" si="63"/>
        <v>0.122016244032488</v>
      </c>
      <c r="M440" s="15">
        <f t="shared" si="64"/>
        <v>0.138973236353365</v>
      </c>
      <c r="N440" s="16">
        <f t="shared" si="65"/>
        <v>31.75</v>
      </c>
      <c r="O440" s="16">
        <f t="shared" si="66"/>
        <v>504550.964236368</v>
      </c>
      <c r="P440" s="16">
        <f t="shared" si="67"/>
        <v>1659428.13411398</v>
      </c>
      <c r="Q440" s="16">
        <f t="shared" si="68"/>
        <v>2.18783930510315</v>
      </c>
      <c r="R440" s="16">
        <f t="shared" si="69"/>
        <v>0.304051108851282</v>
      </c>
      <c r="S440" s="16">
        <v>8.74890638670166</v>
      </c>
    </row>
    <row r="441" spans="1:19">
      <c r="A441" s="5" t="s">
        <v>349</v>
      </c>
      <c r="B441" s="6">
        <v>114.3</v>
      </c>
      <c r="C441" s="6">
        <v>3.6</v>
      </c>
      <c r="D441" s="6">
        <v>250</v>
      </c>
      <c r="E441" s="6">
        <v>403</v>
      </c>
      <c r="F441" s="6">
        <v>184.2</v>
      </c>
      <c r="G441" s="5" t="s">
        <v>337</v>
      </c>
      <c r="H441" s="6">
        <v>2314</v>
      </c>
      <c r="I441" s="14">
        <f t="shared" si="60"/>
        <v>10260.8264517243</v>
      </c>
      <c r="J441" s="15">
        <f t="shared" si="61"/>
        <v>1251.98750430861</v>
      </c>
      <c r="K441" s="15">
        <f t="shared" si="62"/>
        <v>9008.83894741572</v>
      </c>
      <c r="L441" s="15">
        <f t="shared" si="63"/>
        <v>0.122016244032488</v>
      </c>
      <c r="M441" s="15">
        <f t="shared" si="64"/>
        <v>0.138973236353365</v>
      </c>
      <c r="N441" s="16">
        <f t="shared" si="65"/>
        <v>31.75</v>
      </c>
      <c r="O441" s="16">
        <f t="shared" si="66"/>
        <v>504550.964236368</v>
      </c>
      <c r="P441" s="16">
        <f t="shared" si="67"/>
        <v>1659428.13411398</v>
      </c>
      <c r="Q441" s="16">
        <f t="shared" si="68"/>
        <v>2.18783930510315</v>
      </c>
      <c r="R441" s="16">
        <f t="shared" si="69"/>
        <v>0.304051108851282</v>
      </c>
      <c r="S441" s="16">
        <v>8.74890638670166</v>
      </c>
    </row>
    <row r="442" spans="1:19">
      <c r="A442" s="5" t="s">
        <v>350</v>
      </c>
      <c r="B442" s="6">
        <v>114.3</v>
      </c>
      <c r="C442" s="6">
        <v>6.3</v>
      </c>
      <c r="D442" s="6">
        <v>250</v>
      </c>
      <c r="E442" s="6">
        <v>428</v>
      </c>
      <c r="F442" s="6">
        <v>173.5</v>
      </c>
      <c r="G442" s="5" t="s">
        <v>337</v>
      </c>
      <c r="H442" s="6">
        <v>2610</v>
      </c>
      <c r="I442" s="14">
        <f t="shared" si="60"/>
        <v>10260.8264517243</v>
      </c>
      <c r="J442" s="15">
        <f t="shared" si="61"/>
        <v>2137.53964150249</v>
      </c>
      <c r="K442" s="15">
        <f t="shared" si="62"/>
        <v>8123.28681022183</v>
      </c>
      <c r="L442" s="15">
        <f t="shared" si="63"/>
        <v>0.208320416640833</v>
      </c>
      <c r="M442" s="15">
        <f t="shared" si="64"/>
        <v>0.263137285613595</v>
      </c>
      <c r="N442" s="16">
        <f t="shared" si="65"/>
        <v>18.1428571428571</v>
      </c>
      <c r="O442" s="16">
        <f t="shared" si="66"/>
        <v>914866.966563068</v>
      </c>
      <c r="P442" s="16">
        <f t="shared" si="67"/>
        <v>1409390.26157349</v>
      </c>
      <c r="Q442" s="16">
        <f t="shared" si="68"/>
        <v>2.46685878962536</v>
      </c>
      <c r="R442" s="16">
        <f t="shared" si="69"/>
        <v>0.649122525894056</v>
      </c>
      <c r="S442" s="16">
        <v>8.74890638670166</v>
      </c>
    </row>
    <row r="443" spans="1:19">
      <c r="A443" s="5" t="s">
        <v>351</v>
      </c>
      <c r="B443" s="6">
        <v>114.3</v>
      </c>
      <c r="C443" s="6">
        <v>6.3</v>
      </c>
      <c r="D443" s="6">
        <v>250</v>
      </c>
      <c r="E443" s="6">
        <v>428</v>
      </c>
      <c r="F443" s="6">
        <v>173.5</v>
      </c>
      <c r="G443" s="5" t="s">
        <v>337</v>
      </c>
      <c r="H443" s="6">
        <v>2633</v>
      </c>
      <c r="I443" s="14">
        <f t="shared" si="60"/>
        <v>10260.8264517243</v>
      </c>
      <c r="J443" s="15">
        <f t="shared" si="61"/>
        <v>2137.53964150249</v>
      </c>
      <c r="K443" s="15">
        <f t="shared" si="62"/>
        <v>8123.28681022183</v>
      </c>
      <c r="L443" s="15">
        <f t="shared" si="63"/>
        <v>0.208320416640833</v>
      </c>
      <c r="M443" s="15">
        <f t="shared" si="64"/>
        <v>0.263137285613595</v>
      </c>
      <c r="N443" s="16">
        <f t="shared" si="65"/>
        <v>18.1428571428571</v>
      </c>
      <c r="O443" s="16">
        <f t="shared" si="66"/>
        <v>914866.966563068</v>
      </c>
      <c r="P443" s="16">
        <f t="shared" si="67"/>
        <v>1409390.26157349</v>
      </c>
      <c r="Q443" s="16">
        <f t="shared" si="68"/>
        <v>2.46685878962536</v>
      </c>
      <c r="R443" s="16">
        <f t="shared" si="69"/>
        <v>0.649122525894056</v>
      </c>
      <c r="S443" s="16">
        <v>8.74890638670166</v>
      </c>
    </row>
    <row r="444" spans="1:19">
      <c r="A444" s="5" t="s">
        <v>352</v>
      </c>
      <c r="B444" s="6">
        <v>219.1</v>
      </c>
      <c r="C444" s="6">
        <v>5</v>
      </c>
      <c r="D444" s="6">
        <v>600</v>
      </c>
      <c r="E444" s="6">
        <v>380</v>
      </c>
      <c r="F444" s="6">
        <v>51.6</v>
      </c>
      <c r="G444" s="5" t="s">
        <v>337</v>
      </c>
      <c r="H444" s="6">
        <v>3118</v>
      </c>
      <c r="I444" s="14">
        <f t="shared" si="60"/>
        <v>37702.8896082435</v>
      </c>
      <c r="J444" s="15">
        <f t="shared" si="61"/>
        <v>3363.07493566787</v>
      </c>
      <c r="K444" s="15">
        <f t="shared" si="62"/>
        <v>34339.8146725756</v>
      </c>
      <c r="L444" s="15">
        <f t="shared" si="63"/>
        <v>0.089199394810645</v>
      </c>
      <c r="M444" s="15">
        <f t="shared" si="64"/>
        <v>0.0979351510115658</v>
      </c>
      <c r="N444" s="16">
        <f t="shared" si="65"/>
        <v>43.82</v>
      </c>
      <c r="O444" s="16">
        <f t="shared" si="66"/>
        <v>1277968.47555379</v>
      </c>
      <c r="P444" s="16">
        <f t="shared" si="67"/>
        <v>1771934.4371049</v>
      </c>
      <c r="Q444" s="16">
        <f t="shared" si="68"/>
        <v>7.36434108527132</v>
      </c>
      <c r="R444" s="16">
        <f t="shared" si="69"/>
        <v>0.721227856286725</v>
      </c>
      <c r="S444" s="16">
        <v>10.9539023277042</v>
      </c>
    </row>
    <row r="445" spans="1:19">
      <c r="A445" s="5" t="s">
        <v>353</v>
      </c>
      <c r="B445" s="6">
        <v>219.1</v>
      </c>
      <c r="C445" s="6">
        <v>5</v>
      </c>
      <c r="D445" s="6">
        <v>600</v>
      </c>
      <c r="E445" s="6">
        <v>380</v>
      </c>
      <c r="F445" s="6">
        <v>185.1</v>
      </c>
      <c r="G445" s="5" t="s">
        <v>337</v>
      </c>
      <c r="H445" s="6">
        <v>7837</v>
      </c>
      <c r="I445" s="14">
        <f t="shared" si="60"/>
        <v>37702.8896082435</v>
      </c>
      <c r="J445" s="15">
        <f t="shared" si="61"/>
        <v>3363.07493566787</v>
      </c>
      <c r="K445" s="15">
        <f t="shared" si="62"/>
        <v>34339.8146725756</v>
      </c>
      <c r="L445" s="15">
        <f t="shared" si="63"/>
        <v>0.089199394810645</v>
      </c>
      <c r="M445" s="15">
        <f t="shared" si="64"/>
        <v>0.0979351510115658</v>
      </c>
      <c r="N445" s="16">
        <f t="shared" si="65"/>
        <v>43.82</v>
      </c>
      <c r="O445" s="16">
        <f t="shared" si="66"/>
        <v>1277968.47555379</v>
      </c>
      <c r="P445" s="16">
        <f t="shared" si="67"/>
        <v>6356299.69589374</v>
      </c>
      <c r="Q445" s="16">
        <f t="shared" si="68"/>
        <v>2.05294435440303</v>
      </c>
      <c r="R445" s="16">
        <f t="shared" si="69"/>
        <v>0.201055415366802</v>
      </c>
      <c r="S445" s="16">
        <v>10.9539023277042</v>
      </c>
    </row>
    <row r="446" spans="1:19">
      <c r="A446" s="5" t="s">
        <v>354</v>
      </c>
      <c r="B446" s="6">
        <v>219.1</v>
      </c>
      <c r="C446" s="6">
        <v>5</v>
      </c>
      <c r="D446" s="6">
        <v>600</v>
      </c>
      <c r="E446" s="6">
        <v>380</v>
      </c>
      <c r="F446" s="6">
        <v>193.3</v>
      </c>
      <c r="G446" s="5" t="s">
        <v>337</v>
      </c>
      <c r="H446" s="6">
        <v>8664</v>
      </c>
      <c r="I446" s="14">
        <f t="shared" si="60"/>
        <v>37702.8896082435</v>
      </c>
      <c r="J446" s="15">
        <f t="shared" si="61"/>
        <v>3363.07493566787</v>
      </c>
      <c r="K446" s="15">
        <f t="shared" si="62"/>
        <v>34339.8146725756</v>
      </c>
      <c r="L446" s="15">
        <f t="shared" si="63"/>
        <v>0.089199394810645</v>
      </c>
      <c r="M446" s="15">
        <f t="shared" si="64"/>
        <v>0.0979351510115658</v>
      </c>
      <c r="N446" s="16">
        <f t="shared" si="65"/>
        <v>43.82</v>
      </c>
      <c r="O446" s="16">
        <f t="shared" si="66"/>
        <v>1277968.47555379</v>
      </c>
      <c r="P446" s="16">
        <f t="shared" si="67"/>
        <v>6637886.17620886</v>
      </c>
      <c r="Q446" s="16">
        <f t="shared" si="68"/>
        <v>1.96585618210036</v>
      </c>
      <c r="R446" s="16">
        <f t="shared" si="69"/>
        <v>0.192526422061019</v>
      </c>
      <c r="S446" s="16">
        <v>10.9539023277042</v>
      </c>
    </row>
    <row r="447" spans="1:19">
      <c r="A447" s="5" t="s">
        <v>355</v>
      </c>
      <c r="B447" s="6">
        <v>219.1</v>
      </c>
      <c r="C447" s="6">
        <v>10</v>
      </c>
      <c r="D447" s="6">
        <v>600</v>
      </c>
      <c r="E447" s="6">
        <v>381</v>
      </c>
      <c r="F447" s="6">
        <v>51.6</v>
      </c>
      <c r="G447" s="5" t="s">
        <v>337</v>
      </c>
      <c r="H447" s="6">
        <v>5241</v>
      </c>
      <c r="I447" s="14">
        <f t="shared" si="60"/>
        <v>37702.8896082435</v>
      </c>
      <c r="J447" s="15">
        <f t="shared" si="61"/>
        <v>6569.07023865626</v>
      </c>
      <c r="K447" s="15">
        <f t="shared" si="62"/>
        <v>31133.8193695872</v>
      </c>
      <c r="L447" s="15">
        <f t="shared" si="63"/>
        <v>0.174232540447509</v>
      </c>
      <c r="M447" s="15">
        <f t="shared" si="64"/>
        <v>0.210994679472998</v>
      </c>
      <c r="N447" s="16">
        <f t="shared" si="65"/>
        <v>21.91</v>
      </c>
      <c r="O447" s="16">
        <f t="shared" si="66"/>
        <v>2502815.76092803</v>
      </c>
      <c r="P447" s="16">
        <f t="shared" si="67"/>
        <v>1606505.0794707</v>
      </c>
      <c r="Q447" s="16">
        <f t="shared" si="68"/>
        <v>7.38372093023256</v>
      </c>
      <c r="R447" s="16">
        <f t="shared" si="69"/>
        <v>1.55792583099248</v>
      </c>
      <c r="S447" s="16">
        <v>10.9539023277042</v>
      </c>
    </row>
    <row r="448" spans="1:19">
      <c r="A448" s="5" t="s">
        <v>356</v>
      </c>
      <c r="B448" s="6">
        <v>219.1</v>
      </c>
      <c r="C448" s="6">
        <v>10</v>
      </c>
      <c r="D448" s="6">
        <v>600</v>
      </c>
      <c r="E448" s="6">
        <v>381</v>
      </c>
      <c r="F448" s="6">
        <v>185.1</v>
      </c>
      <c r="G448" s="5" t="s">
        <v>337</v>
      </c>
      <c r="H448" s="6">
        <v>9085</v>
      </c>
      <c r="I448" s="14">
        <f t="shared" si="60"/>
        <v>37702.8896082435</v>
      </c>
      <c r="J448" s="15">
        <f t="shared" si="61"/>
        <v>6569.07023865626</v>
      </c>
      <c r="K448" s="15">
        <f t="shared" si="62"/>
        <v>31133.8193695872</v>
      </c>
      <c r="L448" s="15">
        <f t="shared" si="63"/>
        <v>0.174232540447509</v>
      </c>
      <c r="M448" s="15">
        <f t="shared" si="64"/>
        <v>0.210994679472998</v>
      </c>
      <c r="N448" s="16">
        <f t="shared" si="65"/>
        <v>21.91</v>
      </c>
      <c r="O448" s="16">
        <f t="shared" si="66"/>
        <v>2502815.76092803</v>
      </c>
      <c r="P448" s="16">
        <f t="shared" si="67"/>
        <v>5762869.96531059</v>
      </c>
      <c r="Q448" s="16">
        <f t="shared" si="68"/>
        <v>2.05834683954619</v>
      </c>
      <c r="R448" s="16">
        <f t="shared" si="69"/>
        <v>0.434300231654306</v>
      </c>
      <c r="S448" s="16">
        <v>10.9539023277042</v>
      </c>
    </row>
    <row r="449" spans="1:19">
      <c r="A449" s="5" t="s">
        <v>357</v>
      </c>
      <c r="B449" s="6">
        <v>219.1</v>
      </c>
      <c r="C449" s="6">
        <v>10</v>
      </c>
      <c r="D449" s="6">
        <v>600</v>
      </c>
      <c r="E449" s="6">
        <v>381</v>
      </c>
      <c r="F449" s="6">
        <v>193.3</v>
      </c>
      <c r="G449" s="5" t="s">
        <v>337</v>
      </c>
      <c r="H449" s="6">
        <v>9187</v>
      </c>
      <c r="I449" s="14">
        <f t="shared" si="60"/>
        <v>37702.8896082435</v>
      </c>
      <c r="J449" s="15">
        <f t="shared" si="61"/>
        <v>6569.07023865626</v>
      </c>
      <c r="K449" s="15">
        <f t="shared" si="62"/>
        <v>31133.8193695872</v>
      </c>
      <c r="L449" s="15">
        <f t="shared" si="63"/>
        <v>0.174232540447509</v>
      </c>
      <c r="M449" s="15">
        <f t="shared" si="64"/>
        <v>0.210994679472998</v>
      </c>
      <c r="N449" s="16">
        <f t="shared" si="65"/>
        <v>21.91</v>
      </c>
      <c r="O449" s="16">
        <f t="shared" si="66"/>
        <v>2502815.76092803</v>
      </c>
      <c r="P449" s="16">
        <f t="shared" si="67"/>
        <v>6018167.28414121</v>
      </c>
      <c r="Q449" s="16">
        <f t="shared" si="68"/>
        <v>1.97102948784273</v>
      </c>
      <c r="R449" s="16">
        <f t="shared" si="69"/>
        <v>0.415876735019204</v>
      </c>
      <c r="S449" s="16">
        <v>10.9539023277042</v>
      </c>
    </row>
    <row r="450" spans="1:19">
      <c r="A450" s="5" t="s">
        <v>358</v>
      </c>
      <c r="B450" s="6">
        <v>113.7</v>
      </c>
      <c r="C450" s="6">
        <v>2.09</v>
      </c>
      <c r="D450" s="6">
        <v>342</v>
      </c>
      <c r="E450" s="6">
        <v>269.9</v>
      </c>
      <c r="F450" s="6">
        <v>59</v>
      </c>
      <c r="G450" s="5" t="s">
        <v>20</v>
      </c>
      <c r="H450" s="6">
        <v>904</v>
      </c>
      <c r="I450" s="14">
        <f t="shared" si="60"/>
        <v>10153.3839829716</v>
      </c>
      <c r="J450" s="15">
        <f t="shared" si="61"/>
        <v>732.823296180357</v>
      </c>
      <c r="K450" s="15">
        <f t="shared" si="62"/>
        <v>9420.5606867912</v>
      </c>
      <c r="L450" s="15">
        <f t="shared" si="63"/>
        <v>0.0721752764801754</v>
      </c>
      <c r="M450" s="15">
        <f t="shared" si="64"/>
        <v>0.0777897749979856</v>
      </c>
      <c r="N450" s="16">
        <f t="shared" si="65"/>
        <v>54.4019138755981</v>
      </c>
      <c r="O450" s="16">
        <f t="shared" si="66"/>
        <v>197789.007639078</v>
      </c>
      <c r="P450" s="16">
        <f t="shared" si="67"/>
        <v>555813.080520681</v>
      </c>
      <c r="Q450" s="16">
        <f t="shared" si="68"/>
        <v>4.57457627118644</v>
      </c>
      <c r="R450" s="16">
        <f t="shared" si="69"/>
        <v>0.355855258846717</v>
      </c>
      <c r="S450" s="16">
        <v>12.0316622691293</v>
      </c>
    </row>
    <row r="451" spans="1:19">
      <c r="A451" s="5" t="s">
        <v>359</v>
      </c>
      <c r="B451" s="6">
        <v>113.7</v>
      </c>
      <c r="C451" s="6">
        <v>2.06</v>
      </c>
      <c r="D451" s="6">
        <v>342</v>
      </c>
      <c r="E451" s="6">
        <v>269.9</v>
      </c>
      <c r="F451" s="6">
        <v>113.2</v>
      </c>
      <c r="G451" s="5" t="s">
        <v>20</v>
      </c>
      <c r="H451" s="6">
        <v>1491</v>
      </c>
      <c r="I451" s="14">
        <f t="shared" ref="I451:I514" si="70">(PI()*B451^2)/4</f>
        <v>10153.3839829716</v>
      </c>
      <c r="J451" s="15">
        <f t="shared" ref="J451:J514" si="71">(PI()*(B451^2-(B451-2*C451)^2))/4</f>
        <v>722.498451924336</v>
      </c>
      <c r="K451" s="15">
        <f t="shared" ref="K451:K514" si="72">(PI()*(B451-2*C451)^2)/4</f>
        <v>9430.88553104722</v>
      </c>
      <c r="L451" s="15">
        <f t="shared" ref="L451:L514" si="73">J451/I451</f>
        <v>0.07115838947252</v>
      </c>
      <c r="M451" s="15">
        <f t="shared" ref="M451:M514" si="74">J451/K451</f>
        <v>0.0766098209490311</v>
      </c>
      <c r="N451" s="16">
        <f t="shared" ref="N451:N514" si="75">B451/C451</f>
        <v>55.1941747572816</v>
      </c>
      <c r="O451" s="16">
        <f t="shared" ref="O451:O514" si="76">J451*E451</f>
        <v>195002.332174378</v>
      </c>
      <c r="P451" s="16">
        <f t="shared" ref="P451:P514" si="77">K451*F451</f>
        <v>1067576.24211455</v>
      </c>
      <c r="Q451" s="16">
        <f t="shared" ref="Q451:Q514" si="78">E451/F451</f>
        <v>2.38427561837456</v>
      </c>
      <c r="R451" s="16">
        <f t="shared" ref="R451:R514" si="79">O451/P451</f>
        <v>0.182658928216815</v>
      </c>
      <c r="S451" s="16">
        <v>12.0316622691293</v>
      </c>
    </row>
    <row r="452" spans="1:19">
      <c r="A452" s="5" t="s">
        <v>360</v>
      </c>
      <c r="B452" s="6">
        <v>113.7</v>
      </c>
      <c r="C452" s="6">
        <v>2.05</v>
      </c>
      <c r="D452" s="6">
        <v>342</v>
      </c>
      <c r="E452" s="6">
        <v>269.9</v>
      </c>
      <c r="F452" s="6">
        <v>130.8</v>
      </c>
      <c r="G452" s="5" t="s">
        <v>20</v>
      </c>
      <c r="H452" s="6">
        <v>1535</v>
      </c>
      <c r="I452" s="14">
        <f t="shared" si="70"/>
        <v>10153.3839829716</v>
      </c>
      <c r="J452" s="15">
        <f t="shared" si="71"/>
        <v>719.055580535265</v>
      </c>
      <c r="K452" s="15">
        <f t="shared" si="72"/>
        <v>9434.32840243629</v>
      </c>
      <c r="L452" s="15">
        <f t="shared" si="73"/>
        <v>0.0708193033712905</v>
      </c>
      <c r="M452" s="15">
        <f t="shared" si="74"/>
        <v>0.0762169335073791</v>
      </c>
      <c r="N452" s="16">
        <f t="shared" si="75"/>
        <v>55.4634146341463</v>
      </c>
      <c r="O452" s="16">
        <f t="shared" si="76"/>
        <v>194073.101186468</v>
      </c>
      <c r="P452" s="16">
        <f t="shared" si="77"/>
        <v>1234010.15503867</v>
      </c>
      <c r="Q452" s="16">
        <f t="shared" si="78"/>
        <v>2.06345565749235</v>
      </c>
      <c r="R452" s="16">
        <f t="shared" si="79"/>
        <v>0.15727026264252</v>
      </c>
      <c r="S452" s="16">
        <v>12.0316622691293</v>
      </c>
    </row>
    <row r="453" spans="1:19">
      <c r="A453" s="5" t="s">
        <v>361</v>
      </c>
      <c r="B453" s="6">
        <v>114.9</v>
      </c>
      <c r="C453" s="6">
        <v>3.93</v>
      </c>
      <c r="D453" s="6">
        <v>342</v>
      </c>
      <c r="E453" s="6">
        <v>304.3</v>
      </c>
      <c r="F453" s="6">
        <v>59</v>
      </c>
      <c r="G453" s="5" t="s">
        <v>20</v>
      </c>
      <c r="H453" s="6">
        <v>1163</v>
      </c>
      <c r="I453" s="14">
        <f t="shared" si="70"/>
        <v>10368.8344071547</v>
      </c>
      <c r="J453" s="15">
        <f t="shared" si="71"/>
        <v>1370.08656950162</v>
      </c>
      <c r="K453" s="15">
        <f t="shared" si="72"/>
        <v>8998.74783765313</v>
      </c>
      <c r="L453" s="15">
        <f t="shared" si="73"/>
        <v>0.132135061252037</v>
      </c>
      <c r="M453" s="15">
        <f t="shared" si="74"/>
        <v>0.152253023889481</v>
      </c>
      <c r="N453" s="16">
        <f t="shared" si="75"/>
        <v>29.236641221374</v>
      </c>
      <c r="O453" s="16">
        <f t="shared" si="76"/>
        <v>416917.343099342</v>
      </c>
      <c r="P453" s="16">
        <f t="shared" si="77"/>
        <v>530926.122421535</v>
      </c>
      <c r="Q453" s="16">
        <f t="shared" si="78"/>
        <v>5.15762711864407</v>
      </c>
      <c r="R453" s="16">
        <f t="shared" si="79"/>
        <v>0.785264324907951</v>
      </c>
      <c r="S453" s="16">
        <v>11.9060052219321</v>
      </c>
    </row>
    <row r="454" spans="1:19">
      <c r="A454" s="5" t="s">
        <v>362</v>
      </c>
      <c r="B454" s="6">
        <v>114.9</v>
      </c>
      <c r="C454" s="6">
        <v>4.01</v>
      </c>
      <c r="D454" s="6">
        <v>342</v>
      </c>
      <c r="E454" s="6">
        <v>304.3</v>
      </c>
      <c r="F454" s="6">
        <v>113.2</v>
      </c>
      <c r="G454" s="5" t="s">
        <v>20</v>
      </c>
      <c r="H454" s="6">
        <v>1631</v>
      </c>
      <c r="I454" s="14">
        <f t="shared" si="70"/>
        <v>10368.8344071547</v>
      </c>
      <c r="J454" s="15">
        <f t="shared" si="71"/>
        <v>1396.96854951985</v>
      </c>
      <c r="K454" s="15">
        <f t="shared" si="72"/>
        <v>8971.86585763489</v>
      </c>
      <c r="L454" s="15">
        <f t="shared" si="73"/>
        <v>0.134727636170553</v>
      </c>
      <c r="M454" s="15">
        <f t="shared" si="74"/>
        <v>0.155705465472498</v>
      </c>
      <c r="N454" s="16">
        <f t="shared" si="75"/>
        <v>28.6533665835411</v>
      </c>
      <c r="O454" s="16">
        <f t="shared" si="76"/>
        <v>425097.529618892</v>
      </c>
      <c r="P454" s="16">
        <f t="shared" si="77"/>
        <v>1015615.21508427</v>
      </c>
      <c r="Q454" s="16">
        <f t="shared" si="78"/>
        <v>2.68816254416961</v>
      </c>
      <c r="R454" s="16">
        <f t="shared" si="79"/>
        <v>0.418561600205664</v>
      </c>
      <c r="S454" s="16">
        <v>11.9060052219321</v>
      </c>
    </row>
    <row r="455" spans="1:19">
      <c r="A455" s="5" t="s">
        <v>363</v>
      </c>
      <c r="B455" s="6">
        <v>114.9</v>
      </c>
      <c r="C455" s="6">
        <v>4.01</v>
      </c>
      <c r="D455" s="6">
        <v>342</v>
      </c>
      <c r="E455" s="6">
        <v>304.3</v>
      </c>
      <c r="F455" s="6">
        <v>130.8</v>
      </c>
      <c r="G455" s="5" t="s">
        <v>20</v>
      </c>
      <c r="H455" s="6">
        <v>1748</v>
      </c>
      <c r="I455" s="14">
        <f t="shared" si="70"/>
        <v>10368.8344071547</v>
      </c>
      <c r="J455" s="15">
        <f t="shared" si="71"/>
        <v>1396.96854951985</v>
      </c>
      <c r="K455" s="15">
        <f t="shared" si="72"/>
        <v>8971.86585763489</v>
      </c>
      <c r="L455" s="15">
        <f t="shared" si="73"/>
        <v>0.134727636170553</v>
      </c>
      <c r="M455" s="15">
        <f t="shared" si="74"/>
        <v>0.155705465472498</v>
      </c>
      <c r="N455" s="16">
        <f t="shared" si="75"/>
        <v>28.6533665835411</v>
      </c>
      <c r="O455" s="16">
        <f t="shared" si="76"/>
        <v>425097.529618892</v>
      </c>
      <c r="P455" s="16">
        <f t="shared" si="77"/>
        <v>1173520.05417864</v>
      </c>
      <c r="Q455" s="16">
        <f t="shared" si="78"/>
        <v>2.32645259938838</v>
      </c>
      <c r="R455" s="16">
        <f t="shared" si="79"/>
        <v>0.362241384887471</v>
      </c>
      <c r="S455" s="16">
        <v>11.9060052219321</v>
      </c>
    </row>
    <row r="456" spans="1:19">
      <c r="A456" s="5" t="s">
        <v>364</v>
      </c>
      <c r="B456" s="6">
        <v>107.9</v>
      </c>
      <c r="C456" s="6">
        <v>7.99</v>
      </c>
      <c r="D456" s="6">
        <v>342</v>
      </c>
      <c r="E456" s="6">
        <v>251.8</v>
      </c>
      <c r="F456" s="6">
        <v>59</v>
      </c>
      <c r="G456" s="5" t="s">
        <v>20</v>
      </c>
      <c r="H456" s="6">
        <v>1249</v>
      </c>
      <c r="I456" s="14">
        <f t="shared" si="70"/>
        <v>9143.92743152009</v>
      </c>
      <c r="J456" s="15">
        <f t="shared" si="71"/>
        <v>2507.87341094105</v>
      </c>
      <c r="K456" s="15">
        <f t="shared" si="72"/>
        <v>6636.05402057904</v>
      </c>
      <c r="L456" s="15">
        <f t="shared" si="73"/>
        <v>0.274266547905459</v>
      </c>
      <c r="M456" s="15">
        <f t="shared" si="74"/>
        <v>0.377916364629325</v>
      </c>
      <c r="N456" s="16">
        <f t="shared" si="75"/>
        <v>13.5043804755945</v>
      </c>
      <c r="O456" s="16">
        <f t="shared" si="76"/>
        <v>631482.524874956</v>
      </c>
      <c r="P456" s="16">
        <f t="shared" si="77"/>
        <v>391527.187214163</v>
      </c>
      <c r="Q456" s="16">
        <f t="shared" si="78"/>
        <v>4.26779661016949</v>
      </c>
      <c r="R456" s="16">
        <f t="shared" si="79"/>
        <v>1.61287017989261</v>
      </c>
      <c r="S456" s="16">
        <v>12.678405931418</v>
      </c>
    </row>
    <row r="457" spans="1:19">
      <c r="A457" s="5" t="s">
        <v>365</v>
      </c>
      <c r="B457" s="6">
        <v>107.9</v>
      </c>
      <c r="C457" s="6">
        <v>8.01</v>
      </c>
      <c r="D457" s="6">
        <v>342</v>
      </c>
      <c r="E457" s="6">
        <v>251.8</v>
      </c>
      <c r="F457" s="6">
        <v>113.2</v>
      </c>
      <c r="G457" s="5" t="s">
        <v>20</v>
      </c>
      <c r="H457" s="6">
        <v>1482</v>
      </c>
      <c r="I457" s="14">
        <f t="shared" si="70"/>
        <v>9143.92743152009</v>
      </c>
      <c r="J457" s="15">
        <f t="shared" si="71"/>
        <v>2513.64765823835</v>
      </c>
      <c r="K457" s="15">
        <f t="shared" si="72"/>
        <v>6630.27977328174</v>
      </c>
      <c r="L457" s="15">
        <f t="shared" si="73"/>
        <v>0.274898032280258</v>
      </c>
      <c r="M457" s="15">
        <f t="shared" si="74"/>
        <v>0.379116378824266</v>
      </c>
      <c r="N457" s="16">
        <f t="shared" si="75"/>
        <v>13.4706616729089</v>
      </c>
      <c r="O457" s="16">
        <f t="shared" si="76"/>
        <v>632936.480344416</v>
      </c>
      <c r="P457" s="16">
        <f t="shared" si="77"/>
        <v>750547.670335493</v>
      </c>
      <c r="Q457" s="16">
        <f t="shared" si="78"/>
        <v>2.2243816254417</v>
      </c>
      <c r="R457" s="16">
        <f t="shared" si="79"/>
        <v>0.84329950696069</v>
      </c>
      <c r="S457" s="16">
        <v>12.678405931418</v>
      </c>
    </row>
    <row r="458" spans="1:19">
      <c r="A458" s="5" t="s">
        <v>366</v>
      </c>
      <c r="B458" s="6">
        <v>107.9</v>
      </c>
      <c r="C458" s="6">
        <v>8.03</v>
      </c>
      <c r="D458" s="6">
        <v>342</v>
      </c>
      <c r="E458" s="6">
        <v>251.8</v>
      </c>
      <c r="F458" s="6">
        <v>130.8</v>
      </c>
      <c r="G458" s="5" t="s">
        <v>20</v>
      </c>
      <c r="H458" s="6">
        <v>1613</v>
      </c>
      <c r="I458" s="14">
        <f t="shared" si="70"/>
        <v>9143.92743152009</v>
      </c>
      <c r="J458" s="15">
        <f t="shared" si="71"/>
        <v>2519.41939226152</v>
      </c>
      <c r="K458" s="15">
        <f t="shared" si="72"/>
        <v>6624.50803925856</v>
      </c>
      <c r="L458" s="15">
        <f t="shared" si="73"/>
        <v>0.275529241797875</v>
      </c>
      <c r="M458" s="15">
        <f t="shared" si="74"/>
        <v>0.380317961323435</v>
      </c>
      <c r="N458" s="16">
        <f t="shared" si="75"/>
        <v>13.4371108343711</v>
      </c>
      <c r="O458" s="16">
        <f t="shared" si="76"/>
        <v>634389.802971451</v>
      </c>
      <c r="P458" s="16">
        <f t="shared" si="77"/>
        <v>866485.65153502</v>
      </c>
      <c r="Q458" s="16">
        <f t="shared" si="78"/>
        <v>1.92507645259939</v>
      </c>
      <c r="R458" s="16">
        <f t="shared" si="79"/>
        <v>0.732141151844349</v>
      </c>
      <c r="S458" s="16">
        <v>12.678405931418</v>
      </c>
    </row>
    <row r="459" spans="1:19">
      <c r="A459" s="5" t="s">
        <v>367</v>
      </c>
      <c r="B459" s="6">
        <v>168.3</v>
      </c>
      <c r="C459" s="6">
        <v>2.8</v>
      </c>
      <c r="D459" s="6">
        <v>300</v>
      </c>
      <c r="E459" s="6">
        <v>317.8</v>
      </c>
      <c r="F459" s="6">
        <v>37.71</v>
      </c>
      <c r="G459" s="5" t="s">
        <v>20</v>
      </c>
      <c r="H459" s="6">
        <v>1282.5</v>
      </c>
      <c r="I459" s="14">
        <f t="shared" si="70"/>
        <v>22246.3165844347</v>
      </c>
      <c r="J459" s="15">
        <f t="shared" si="71"/>
        <v>1455.81403567351</v>
      </c>
      <c r="K459" s="15">
        <f t="shared" si="72"/>
        <v>20790.5025487612</v>
      </c>
      <c r="L459" s="15">
        <f t="shared" si="73"/>
        <v>0.0654406777925704</v>
      </c>
      <c r="M459" s="15">
        <f t="shared" si="74"/>
        <v>0.0700230325004939</v>
      </c>
      <c r="N459" s="16">
        <f t="shared" si="75"/>
        <v>60.1071428571429</v>
      </c>
      <c r="O459" s="16">
        <f t="shared" si="76"/>
        <v>462657.700537041</v>
      </c>
      <c r="P459" s="16">
        <f t="shared" si="77"/>
        <v>784009.851113787</v>
      </c>
      <c r="Q459" s="16">
        <f t="shared" si="78"/>
        <v>8.42747281888093</v>
      </c>
      <c r="R459" s="16">
        <f t="shared" si="79"/>
        <v>0.590117203093528</v>
      </c>
      <c r="S459" s="16">
        <v>7.1301247771836</v>
      </c>
    </row>
    <row r="460" spans="1:19">
      <c r="A460" s="5" t="s">
        <v>368</v>
      </c>
      <c r="B460" s="6">
        <v>168.3</v>
      </c>
      <c r="C460" s="6">
        <v>2.8</v>
      </c>
      <c r="D460" s="6">
        <v>300</v>
      </c>
      <c r="E460" s="6">
        <v>317.8</v>
      </c>
      <c r="F460" s="6">
        <v>93.74</v>
      </c>
      <c r="G460" s="5" t="s">
        <v>20</v>
      </c>
      <c r="H460" s="6">
        <v>2375.7</v>
      </c>
      <c r="I460" s="14">
        <f t="shared" si="70"/>
        <v>22246.3165844347</v>
      </c>
      <c r="J460" s="15">
        <f t="shared" si="71"/>
        <v>1455.81403567351</v>
      </c>
      <c r="K460" s="15">
        <f t="shared" si="72"/>
        <v>20790.5025487612</v>
      </c>
      <c r="L460" s="15">
        <f t="shared" si="73"/>
        <v>0.0654406777925704</v>
      </c>
      <c r="M460" s="15">
        <f t="shared" si="74"/>
        <v>0.0700230325004939</v>
      </c>
      <c r="N460" s="16">
        <f t="shared" si="75"/>
        <v>60.1071428571429</v>
      </c>
      <c r="O460" s="16">
        <f t="shared" si="76"/>
        <v>462657.700537041</v>
      </c>
      <c r="P460" s="16">
        <f t="shared" si="77"/>
        <v>1948901.70892088</v>
      </c>
      <c r="Q460" s="16">
        <f t="shared" si="78"/>
        <v>3.39022829101771</v>
      </c>
      <c r="R460" s="16">
        <f t="shared" si="79"/>
        <v>0.237394065806027</v>
      </c>
      <c r="S460" s="16">
        <v>7.1301247771836</v>
      </c>
    </row>
    <row r="461" spans="1:19">
      <c r="A461" s="5" t="s">
        <v>369</v>
      </c>
      <c r="B461" s="6">
        <v>159</v>
      </c>
      <c r="C461" s="6">
        <v>3</v>
      </c>
      <c r="D461" s="6">
        <v>300</v>
      </c>
      <c r="E461" s="6">
        <v>336.28</v>
      </c>
      <c r="F461" s="6">
        <v>33.39</v>
      </c>
      <c r="G461" s="5" t="s">
        <v>20</v>
      </c>
      <c r="H461" s="6">
        <v>1185.7</v>
      </c>
      <c r="I461" s="14">
        <f t="shared" si="70"/>
        <v>19855.6509688509</v>
      </c>
      <c r="J461" s="15">
        <f t="shared" si="71"/>
        <v>1470.26536188002</v>
      </c>
      <c r="K461" s="15">
        <f t="shared" si="72"/>
        <v>18385.3856069709</v>
      </c>
      <c r="L461" s="15">
        <f t="shared" si="73"/>
        <v>0.0740477038091848</v>
      </c>
      <c r="M461" s="15">
        <f t="shared" si="74"/>
        <v>0.0799692425990004</v>
      </c>
      <c r="N461" s="16">
        <f t="shared" si="75"/>
        <v>53</v>
      </c>
      <c r="O461" s="16">
        <f t="shared" si="76"/>
        <v>494420.835893014</v>
      </c>
      <c r="P461" s="16">
        <f t="shared" si="77"/>
        <v>613888.025416757</v>
      </c>
      <c r="Q461" s="16">
        <f t="shared" si="78"/>
        <v>10.0712788259958</v>
      </c>
      <c r="R461" s="16">
        <f t="shared" si="79"/>
        <v>0.805392539718234</v>
      </c>
      <c r="S461" s="16">
        <v>7.54716981132075</v>
      </c>
    </row>
    <row r="462" spans="1:19">
      <c r="A462" s="5" t="s">
        <v>370</v>
      </c>
      <c r="B462" s="6">
        <v>159</v>
      </c>
      <c r="C462" s="6">
        <v>3</v>
      </c>
      <c r="D462" s="6">
        <v>300</v>
      </c>
      <c r="E462" s="6">
        <v>336.28</v>
      </c>
      <c r="F462" s="6">
        <v>90.85</v>
      </c>
      <c r="G462" s="5" t="s">
        <v>20</v>
      </c>
      <c r="H462" s="6">
        <v>2021.7</v>
      </c>
      <c r="I462" s="14">
        <f t="shared" si="70"/>
        <v>19855.6509688509</v>
      </c>
      <c r="J462" s="15">
        <f t="shared" si="71"/>
        <v>1470.26536188002</v>
      </c>
      <c r="K462" s="15">
        <f t="shared" si="72"/>
        <v>18385.3856069709</v>
      </c>
      <c r="L462" s="15">
        <f t="shared" si="73"/>
        <v>0.0740477038091848</v>
      </c>
      <c r="M462" s="15">
        <f t="shared" si="74"/>
        <v>0.0799692425990004</v>
      </c>
      <c r="N462" s="16">
        <f t="shared" si="75"/>
        <v>53</v>
      </c>
      <c r="O462" s="16">
        <f t="shared" si="76"/>
        <v>494420.835893014</v>
      </c>
      <c r="P462" s="16">
        <f t="shared" si="77"/>
        <v>1670312.2823933</v>
      </c>
      <c r="Q462" s="16">
        <f t="shared" si="78"/>
        <v>3.70148596587782</v>
      </c>
      <c r="R462" s="16">
        <f t="shared" si="79"/>
        <v>0.296005029182079</v>
      </c>
      <c r="S462" s="16">
        <v>7.54716981132075</v>
      </c>
    </row>
    <row r="463" spans="1:19">
      <c r="A463" s="5" t="s">
        <v>371</v>
      </c>
      <c r="B463" s="6">
        <v>120</v>
      </c>
      <c r="C463" s="6">
        <v>2.5</v>
      </c>
      <c r="D463" s="6">
        <v>300</v>
      </c>
      <c r="E463" s="6">
        <v>445.52</v>
      </c>
      <c r="F463" s="6">
        <v>41.44</v>
      </c>
      <c r="G463" s="5" t="s">
        <v>20</v>
      </c>
      <c r="H463" s="6">
        <v>879.2</v>
      </c>
      <c r="I463" s="14">
        <f t="shared" si="70"/>
        <v>11309.7335529233</v>
      </c>
      <c r="J463" s="15">
        <f t="shared" si="71"/>
        <v>922.842841992002</v>
      </c>
      <c r="K463" s="15">
        <f t="shared" si="72"/>
        <v>10386.8907109313</v>
      </c>
      <c r="L463" s="15">
        <f t="shared" si="73"/>
        <v>0.0815972222222222</v>
      </c>
      <c r="M463" s="15">
        <f t="shared" si="74"/>
        <v>0.0888468809073724</v>
      </c>
      <c r="N463" s="16">
        <f t="shared" si="75"/>
        <v>48</v>
      </c>
      <c r="O463" s="16">
        <f t="shared" si="76"/>
        <v>411144.942964277</v>
      </c>
      <c r="P463" s="16">
        <f t="shared" si="77"/>
        <v>430432.751060991</v>
      </c>
      <c r="Q463" s="16">
        <f t="shared" si="78"/>
        <v>10.7509652509653</v>
      </c>
      <c r="R463" s="16">
        <f t="shared" si="79"/>
        <v>0.955189729291809</v>
      </c>
      <c r="S463" s="16">
        <v>10</v>
      </c>
    </row>
    <row r="464" spans="1:19">
      <c r="A464" s="5" t="s">
        <v>372</v>
      </c>
      <c r="B464" s="6">
        <v>120</v>
      </c>
      <c r="C464" s="6">
        <v>2.5</v>
      </c>
      <c r="D464" s="6">
        <v>300</v>
      </c>
      <c r="E464" s="6">
        <v>445.52</v>
      </c>
      <c r="F464" s="6">
        <v>94.68</v>
      </c>
      <c r="G464" s="5" t="s">
        <v>20</v>
      </c>
      <c r="H464" s="6">
        <v>1417.2</v>
      </c>
      <c r="I464" s="14">
        <f t="shared" si="70"/>
        <v>11309.7335529233</v>
      </c>
      <c r="J464" s="15">
        <f t="shared" si="71"/>
        <v>922.842841992002</v>
      </c>
      <c r="K464" s="15">
        <f t="shared" si="72"/>
        <v>10386.8907109313</v>
      </c>
      <c r="L464" s="15">
        <f t="shared" si="73"/>
        <v>0.0815972222222222</v>
      </c>
      <c r="M464" s="15">
        <f t="shared" si="74"/>
        <v>0.0888468809073724</v>
      </c>
      <c r="N464" s="16">
        <f t="shared" si="75"/>
        <v>48</v>
      </c>
      <c r="O464" s="16">
        <f t="shared" si="76"/>
        <v>411144.942964277</v>
      </c>
      <c r="P464" s="16">
        <f t="shared" si="77"/>
        <v>983430.812510971</v>
      </c>
      <c r="Q464" s="16">
        <f t="shared" si="78"/>
        <v>4.70553443177017</v>
      </c>
      <c r="R464" s="16">
        <f t="shared" si="79"/>
        <v>0.418072057265025</v>
      </c>
      <c r="S464" s="16">
        <v>10</v>
      </c>
    </row>
    <row r="465" spans="1:19">
      <c r="A465" s="5" t="s">
        <v>373</v>
      </c>
      <c r="B465" s="6">
        <v>100</v>
      </c>
      <c r="C465" s="6">
        <v>3</v>
      </c>
      <c r="D465" s="6">
        <v>300</v>
      </c>
      <c r="E465" s="6">
        <v>432.09</v>
      </c>
      <c r="F465" s="6">
        <v>34.04</v>
      </c>
      <c r="G465" s="5" t="s">
        <v>20</v>
      </c>
      <c r="H465" s="6">
        <v>724</v>
      </c>
      <c r="I465" s="14">
        <f t="shared" si="70"/>
        <v>7853.98163397448</v>
      </c>
      <c r="J465" s="15">
        <f t="shared" si="71"/>
        <v>914.20346219463</v>
      </c>
      <c r="K465" s="15">
        <f t="shared" si="72"/>
        <v>6939.77817177985</v>
      </c>
      <c r="L465" s="15">
        <f t="shared" si="73"/>
        <v>0.1164</v>
      </c>
      <c r="M465" s="15">
        <f t="shared" si="74"/>
        <v>0.131733816206428</v>
      </c>
      <c r="N465" s="16">
        <f t="shared" si="75"/>
        <v>33.3333333333333</v>
      </c>
      <c r="O465" s="16">
        <f t="shared" si="76"/>
        <v>395018.173979678</v>
      </c>
      <c r="P465" s="16">
        <f t="shared" si="77"/>
        <v>236230.048967386</v>
      </c>
      <c r="Q465" s="16">
        <f t="shared" si="78"/>
        <v>12.6935957696827</v>
      </c>
      <c r="R465" s="16">
        <f t="shared" si="79"/>
        <v>1.67217581212208</v>
      </c>
      <c r="S465" s="16">
        <v>12</v>
      </c>
    </row>
    <row r="466" spans="1:19">
      <c r="A466" s="5" t="s">
        <v>374</v>
      </c>
      <c r="B466" s="6">
        <v>100</v>
      </c>
      <c r="C466" s="6">
        <v>3</v>
      </c>
      <c r="D466" s="6">
        <v>300</v>
      </c>
      <c r="E466" s="6">
        <v>432.82</v>
      </c>
      <c r="F466" s="6">
        <v>93.51</v>
      </c>
      <c r="G466" s="5" t="s">
        <v>20</v>
      </c>
      <c r="H466" s="6">
        <v>1141.3</v>
      </c>
      <c r="I466" s="14">
        <f t="shared" si="70"/>
        <v>7853.98163397448</v>
      </c>
      <c r="J466" s="15">
        <f t="shared" si="71"/>
        <v>914.20346219463</v>
      </c>
      <c r="K466" s="15">
        <f t="shared" si="72"/>
        <v>6939.77817177985</v>
      </c>
      <c r="L466" s="15">
        <f t="shared" si="73"/>
        <v>0.1164</v>
      </c>
      <c r="M466" s="15">
        <f t="shared" si="74"/>
        <v>0.131733816206428</v>
      </c>
      <c r="N466" s="16">
        <f t="shared" si="75"/>
        <v>33.3333333333333</v>
      </c>
      <c r="O466" s="16">
        <f t="shared" si="76"/>
        <v>395685.54250708</v>
      </c>
      <c r="P466" s="16">
        <f t="shared" si="77"/>
        <v>648938.656843134</v>
      </c>
      <c r="Q466" s="16">
        <f t="shared" si="78"/>
        <v>4.62859587209924</v>
      </c>
      <c r="R466" s="16">
        <f t="shared" si="79"/>
        <v>0.609742597908954</v>
      </c>
      <c r="S466" s="16">
        <v>12</v>
      </c>
    </row>
    <row r="467" spans="1:19">
      <c r="A467" s="5" t="s">
        <v>375</v>
      </c>
      <c r="B467" s="6">
        <v>101.6</v>
      </c>
      <c r="C467" s="6">
        <v>3</v>
      </c>
      <c r="D467" s="6">
        <v>300</v>
      </c>
      <c r="E467" s="6">
        <v>425.03</v>
      </c>
      <c r="F467" s="6">
        <v>34.04</v>
      </c>
      <c r="G467" s="5" t="s">
        <v>20</v>
      </c>
      <c r="H467" s="6">
        <v>703.3</v>
      </c>
      <c r="I467" s="14">
        <f t="shared" si="70"/>
        <v>8107.31966555996</v>
      </c>
      <c r="J467" s="15">
        <f t="shared" si="71"/>
        <v>929.283106931861</v>
      </c>
      <c r="K467" s="15">
        <f t="shared" si="72"/>
        <v>7178.0365586281</v>
      </c>
      <c r="L467" s="15">
        <f t="shared" si="73"/>
        <v>0.114622729245459</v>
      </c>
      <c r="M467" s="15">
        <f t="shared" si="74"/>
        <v>0.129462019222353</v>
      </c>
      <c r="N467" s="16">
        <f t="shared" si="75"/>
        <v>33.8666666666667</v>
      </c>
      <c r="O467" s="16">
        <f t="shared" si="76"/>
        <v>394973.198939249</v>
      </c>
      <c r="P467" s="16">
        <f t="shared" si="77"/>
        <v>244340.364455701</v>
      </c>
      <c r="Q467" s="16">
        <f t="shared" si="78"/>
        <v>12.4861927144536</v>
      </c>
      <c r="R467" s="16">
        <f t="shared" si="79"/>
        <v>1.61648772121259</v>
      </c>
      <c r="S467" s="16">
        <v>11.8110236220472</v>
      </c>
    </row>
    <row r="468" spans="1:19">
      <c r="A468" s="5" t="s">
        <v>376</v>
      </c>
      <c r="B468" s="6">
        <v>101.6</v>
      </c>
      <c r="C468" s="6">
        <v>3</v>
      </c>
      <c r="D468" s="6">
        <v>300</v>
      </c>
      <c r="E468" s="6">
        <v>425.03</v>
      </c>
      <c r="F468" s="6">
        <v>93.51</v>
      </c>
      <c r="G468" s="5" t="s">
        <v>20</v>
      </c>
      <c r="H468" s="6">
        <v>1075.5</v>
      </c>
      <c r="I468" s="14">
        <f t="shared" si="70"/>
        <v>8107.31966555996</v>
      </c>
      <c r="J468" s="15">
        <f t="shared" si="71"/>
        <v>929.283106931861</v>
      </c>
      <c r="K468" s="15">
        <f t="shared" si="72"/>
        <v>7178.0365586281</v>
      </c>
      <c r="L468" s="15">
        <f t="shared" si="73"/>
        <v>0.114622729245459</v>
      </c>
      <c r="M468" s="15">
        <f t="shared" si="74"/>
        <v>0.129462019222353</v>
      </c>
      <c r="N468" s="16">
        <f t="shared" si="75"/>
        <v>33.8666666666667</v>
      </c>
      <c r="O468" s="16">
        <f t="shared" si="76"/>
        <v>394973.198939249</v>
      </c>
      <c r="P468" s="16">
        <f t="shared" si="77"/>
        <v>671218.198597314</v>
      </c>
      <c r="Q468" s="16">
        <f t="shared" si="78"/>
        <v>4.54528927387445</v>
      </c>
      <c r="R468" s="16">
        <f t="shared" si="79"/>
        <v>0.588442327345488</v>
      </c>
      <c r="S468" s="16">
        <v>11.8110236220472</v>
      </c>
    </row>
    <row r="469" spans="1:19">
      <c r="A469" s="5" t="s">
        <v>377</v>
      </c>
      <c r="B469" s="6">
        <v>200</v>
      </c>
      <c r="C469" s="6">
        <v>6</v>
      </c>
      <c r="D469" s="6">
        <v>695</v>
      </c>
      <c r="E469" s="6">
        <v>451</v>
      </c>
      <c r="F469" s="6">
        <v>38</v>
      </c>
      <c r="G469" s="5" t="s">
        <v>20</v>
      </c>
      <c r="H469" s="6">
        <v>3503</v>
      </c>
      <c r="I469" s="14">
        <f t="shared" si="70"/>
        <v>31415.9265358979</v>
      </c>
      <c r="J469" s="15">
        <f t="shared" si="71"/>
        <v>3656.81384877852</v>
      </c>
      <c r="K469" s="15">
        <f t="shared" si="72"/>
        <v>27759.1126871194</v>
      </c>
      <c r="L469" s="15">
        <f t="shared" si="73"/>
        <v>0.1164</v>
      </c>
      <c r="M469" s="15">
        <f t="shared" si="74"/>
        <v>0.131733816206428</v>
      </c>
      <c r="N469" s="16">
        <f t="shared" si="75"/>
        <v>33.3333333333333</v>
      </c>
      <c r="O469" s="16">
        <f t="shared" si="76"/>
        <v>1649223.04579911</v>
      </c>
      <c r="P469" s="16">
        <f t="shared" si="77"/>
        <v>1054846.28211054</v>
      </c>
      <c r="Q469" s="16">
        <f t="shared" si="78"/>
        <v>11.8684210526316</v>
      </c>
      <c r="R469" s="16">
        <f t="shared" si="79"/>
        <v>1.56347239760787</v>
      </c>
      <c r="S469" s="16">
        <v>13.9</v>
      </c>
    </row>
    <row r="470" spans="1:19">
      <c r="A470" s="5" t="s">
        <v>378</v>
      </c>
      <c r="B470" s="6">
        <v>200</v>
      </c>
      <c r="C470" s="6">
        <v>6</v>
      </c>
      <c r="D470" s="6">
        <v>695</v>
      </c>
      <c r="E470" s="6">
        <v>451</v>
      </c>
      <c r="F470" s="6">
        <v>38</v>
      </c>
      <c r="G470" s="5" t="s">
        <v>20</v>
      </c>
      <c r="H470" s="6">
        <v>3519</v>
      </c>
      <c r="I470" s="14">
        <f t="shared" si="70"/>
        <v>31415.9265358979</v>
      </c>
      <c r="J470" s="15">
        <f t="shared" si="71"/>
        <v>3656.81384877852</v>
      </c>
      <c r="K470" s="15">
        <f t="shared" si="72"/>
        <v>27759.1126871194</v>
      </c>
      <c r="L470" s="15">
        <f t="shared" si="73"/>
        <v>0.1164</v>
      </c>
      <c r="M470" s="15">
        <f t="shared" si="74"/>
        <v>0.131733816206428</v>
      </c>
      <c r="N470" s="16">
        <f t="shared" si="75"/>
        <v>33.3333333333333</v>
      </c>
      <c r="O470" s="16">
        <f t="shared" si="76"/>
        <v>1649223.04579911</v>
      </c>
      <c r="P470" s="16">
        <f t="shared" si="77"/>
        <v>1054846.28211054</v>
      </c>
      <c r="Q470" s="16">
        <f t="shared" si="78"/>
        <v>11.8684210526316</v>
      </c>
      <c r="R470" s="16">
        <f t="shared" si="79"/>
        <v>1.56347239760787</v>
      </c>
      <c r="S470" s="16">
        <v>13.9</v>
      </c>
    </row>
    <row r="471" spans="1:19">
      <c r="A471" s="5" t="s">
        <v>379</v>
      </c>
      <c r="B471" s="6">
        <v>200</v>
      </c>
      <c r="C471" s="6">
        <v>6</v>
      </c>
      <c r="D471" s="6">
        <v>695</v>
      </c>
      <c r="E471" s="6">
        <v>451</v>
      </c>
      <c r="F471" s="6">
        <v>80.5</v>
      </c>
      <c r="G471" s="5" t="s">
        <v>20</v>
      </c>
      <c r="H471" s="6">
        <v>4463</v>
      </c>
      <c r="I471" s="14">
        <f t="shared" si="70"/>
        <v>31415.9265358979</v>
      </c>
      <c r="J471" s="15">
        <f t="shared" si="71"/>
        <v>3656.81384877852</v>
      </c>
      <c r="K471" s="15">
        <f t="shared" si="72"/>
        <v>27759.1126871194</v>
      </c>
      <c r="L471" s="15">
        <f t="shared" si="73"/>
        <v>0.1164</v>
      </c>
      <c r="M471" s="15">
        <f t="shared" si="74"/>
        <v>0.131733816206428</v>
      </c>
      <c r="N471" s="16">
        <f t="shared" si="75"/>
        <v>33.3333333333333</v>
      </c>
      <c r="O471" s="16">
        <f t="shared" si="76"/>
        <v>1649223.04579911</v>
      </c>
      <c r="P471" s="16">
        <f t="shared" si="77"/>
        <v>2234608.57131311</v>
      </c>
      <c r="Q471" s="16">
        <f t="shared" si="78"/>
        <v>5.60248447204969</v>
      </c>
      <c r="R471" s="16">
        <f t="shared" si="79"/>
        <v>0.738036659740362</v>
      </c>
      <c r="S471" s="16">
        <v>13.9</v>
      </c>
    </row>
    <row r="472" spans="1:19">
      <c r="A472" s="5" t="s">
        <v>380</v>
      </c>
      <c r="B472" s="6">
        <v>200</v>
      </c>
      <c r="C472" s="6">
        <v>6</v>
      </c>
      <c r="D472" s="6">
        <v>695</v>
      </c>
      <c r="E472" s="6">
        <v>451</v>
      </c>
      <c r="F472" s="6">
        <v>80.5</v>
      </c>
      <c r="G472" s="5" t="s">
        <v>20</v>
      </c>
      <c r="H472" s="6">
        <v>4423</v>
      </c>
      <c r="I472" s="14">
        <f t="shared" si="70"/>
        <v>31415.9265358979</v>
      </c>
      <c r="J472" s="15">
        <f t="shared" si="71"/>
        <v>3656.81384877852</v>
      </c>
      <c r="K472" s="15">
        <f t="shared" si="72"/>
        <v>27759.1126871194</v>
      </c>
      <c r="L472" s="15">
        <f t="shared" si="73"/>
        <v>0.1164</v>
      </c>
      <c r="M472" s="15">
        <f t="shared" si="74"/>
        <v>0.131733816206428</v>
      </c>
      <c r="N472" s="16">
        <f t="shared" si="75"/>
        <v>33.3333333333333</v>
      </c>
      <c r="O472" s="16">
        <f t="shared" si="76"/>
        <v>1649223.04579911</v>
      </c>
      <c r="P472" s="16">
        <f t="shared" si="77"/>
        <v>2234608.57131311</v>
      </c>
      <c r="Q472" s="16">
        <f t="shared" si="78"/>
        <v>5.60248447204969</v>
      </c>
      <c r="R472" s="16">
        <f t="shared" si="79"/>
        <v>0.738036659740362</v>
      </c>
      <c r="S472" s="16">
        <v>13.9</v>
      </c>
    </row>
    <row r="473" spans="1:19">
      <c r="A473" s="5" t="s">
        <v>381</v>
      </c>
      <c r="B473" s="6">
        <v>200</v>
      </c>
      <c r="C473" s="6">
        <v>6</v>
      </c>
      <c r="D473" s="6">
        <v>695</v>
      </c>
      <c r="E473" s="6">
        <v>451</v>
      </c>
      <c r="F473" s="6">
        <v>112.1</v>
      </c>
      <c r="G473" s="5" t="s">
        <v>20</v>
      </c>
      <c r="H473" s="6">
        <v>5071</v>
      </c>
      <c r="I473" s="14">
        <f t="shared" si="70"/>
        <v>31415.9265358979</v>
      </c>
      <c r="J473" s="15">
        <f t="shared" si="71"/>
        <v>3656.81384877852</v>
      </c>
      <c r="K473" s="15">
        <f t="shared" si="72"/>
        <v>27759.1126871194</v>
      </c>
      <c r="L473" s="15">
        <f t="shared" si="73"/>
        <v>0.1164</v>
      </c>
      <c r="M473" s="15">
        <f t="shared" si="74"/>
        <v>0.131733816206428</v>
      </c>
      <c r="N473" s="16">
        <f t="shared" si="75"/>
        <v>33.3333333333333</v>
      </c>
      <c r="O473" s="16">
        <f t="shared" si="76"/>
        <v>1649223.04579911</v>
      </c>
      <c r="P473" s="16">
        <f t="shared" si="77"/>
        <v>3111796.53222609</v>
      </c>
      <c r="Q473" s="16">
        <f t="shared" si="78"/>
        <v>4.02319357716325</v>
      </c>
      <c r="R473" s="16">
        <f t="shared" si="79"/>
        <v>0.529990643256906</v>
      </c>
      <c r="S473" s="16">
        <v>13.9</v>
      </c>
    </row>
    <row r="474" spans="1:19">
      <c r="A474" s="5" t="s">
        <v>382</v>
      </c>
      <c r="B474" s="6">
        <v>200</v>
      </c>
      <c r="C474" s="6">
        <v>6</v>
      </c>
      <c r="D474" s="6">
        <v>695</v>
      </c>
      <c r="E474" s="6">
        <v>451</v>
      </c>
      <c r="F474" s="6">
        <v>112.1</v>
      </c>
      <c r="G474" s="5" t="s">
        <v>20</v>
      </c>
      <c r="H474" s="6">
        <v>5040</v>
      </c>
      <c r="I474" s="14">
        <f t="shared" si="70"/>
        <v>31415.9265358979</v>
      </c>
      <c r="J474" s="15">
        <f t="shared" si="71"/>
        <v>3656.81384877852</v>
      </c>
      <c r="K474" s="15">
        <f t="shared" si="72"/>
        <v>27759.1126871194</v>
      </c>
      <c r="L474" s="15">
        <f t="shared" si="73"/>
        <v>0.1164</v>
      </c>
      <c r="M474" s="15">
        <f t="shared" si="74"/>
        <v>0.131733816206428</v>
      </c>
      <c r="N474" s="16">
        <f t="shared" si="75"/>
        <v>33.3333333333333</v>
      </c>
      <c r="O474" s="16">
        <f t="shared" si="76"/>
        <v>1649223.04579911</v>
      </c>
      <c r="P474" s="16">
        <f t="shared" si="77"/>
        <v>3111796.53222609</v>
      </c>
      <c r="Q474" s="16">
        <f t="shared" si="78"/>
        <v>4.02319357716325</v>
      </c>
      <c r="R474" s="16">
        <f t="shared" si="79"/>
        <v>0.529990643256906</v>
      </c>
      <c r="S474" s="16">
        <v>13.9</v>
      </c>
    </row>
    <row r="475" spans="1:19">
      <c r="A475" s="5" t="s">
        <v>383</v>
      </c>
      <c r="B475" s="6">
        <v>200</v>
      </c>
      <c r="C475" s="6">
        <v>6</v>
      </c>
      <c r="D475" s="6">
        <v>695</v>
      </c>
      <c r="E475" s="6">
        <v>451</v>
      </c>
      <c r="F475" s="6">
        <v>112.1</v>
      </c>
      <c r="G475" s="5" t="s">
        <v>20</v>
      </c>
      <c r="H475" s="6">
        <v>5099</v>
      </c>
      <c r="I475" s="14">
        <f t="shared" si="70"/>
        <v>31415.9265358979</v>
      </c>
      <c r="J475" s="15">
        <f t="shared" si="71"/>
        <v>3656.81384877852</v>
      </c>
      <c r="K475" s="15">
        <f t="shared" si="72"/>
        <v>27759.1126871194</v>
      </c>
      <c r="L475" s="15">
        <f t="shared" si="73"/>
        <v>0.1164</v>
      </c>
      <c r="M475" s="15">
        <f t="shared" si="74"/>
        <v>0.131733816206428</v>
      </c>
      <c r="N475" s="16">
        <f t="shared" si="75"/>
        <v>33.3333333333333</v>
      </c>
      <c r="O475" s="16">
        <f t="shared" si="76"/>
        <v>1649223.04579911</v>
      </c>
      <c r="P475" s="16">
        <f t="shared" si="77"/>
        <v>3111796.53222609</v>
      </c>
      <c r="Q475" s="16">
        <f t="shared" si="78"/>
        <v>4.02319357716325</v>
      </c>
      <c r="R475" s="16">
        <f t="shared" si="79"/>
        <v>0.529990643256906</v>
      </c>
      <c r="S475" s="16">
        <v>13.9</v>
      </c>
    </row>
    <row r="476" spans="1:19">
      <c r="A476" s="5" t="s">
        <v>384</v>
      </c>
      <c r="B476" s="6">
        <v>153</v>
      </c>
      <c r="C476" s="6">
        <v>1.54</v>
      </c>
      <c r="D476" s="6">
        <v>306</v>
      </c>
      <c r="E476" s="6">
        <v>345</v>
      </c>
      <c r="F476" s="6">
        <v>73.2</v>
      </c>
      <c r="G476" s="5" t="s">
        <v>20</v>
      </c>
      <c r="H476" s="6">
        <v>1823</v>
      </c>
      <c r="I476" s="14">
        <f t="shared" si="70"/>
        <v>18385.3856069709</v>
      </c>
      <c r="J476" s="15">
        <f t="shared" si="71"/>
        <v>732.771459901578</v>
      </c>
      <c r="K476" s="15">
        <f t="shared" si="72"/>
        <v>17652.6141470693</v>
      </c>
      <c r="L476" s="15">
        <f t="shared" si="73"/>
        <v>0.039856192062882</v>
      </c>
      <c r="M476" s="15">
        <f t="shared" si="74"/>
        <v>0.0415106484397515</v>
      </c>
      <c r="N476" s="16">
        <f t="shared" si="75"/>
        <v>99.3506493506493</v>
      </c>
      <c r="O476" s="16">
        <f t="shared" si="76"/>
        <v>252806.153666044</v>
      </c>
      <c r="P476" s="16">
        <f t="shared" si="77"/>
        <v>1292171.35556547</v>
      </c>
      <c r="Q476" s="16">
        <f t="shared" si="78"/>
        <v>4.71311475409836</v>
      </c>
      <c r="R476" s="16">
        <f t="shared" si="79"/>
        <v>0.195644449613583</v>
      </c>
      <c r="S476" s="16">
        <v>8</v>
      </c>
    </row>
    <row r="477" spans="1:19">
      <c r="A477" s="5" t="s">
        <v>385</v>
      </c>
      <c r="B477" s="6">
        <v>153</v>
      </c>
      <c r="C477" s="6">
        <v>1.54</v>
      </c>
      <c r="D477" s="6">
        <v>306</v>
      </c>
      <c r="E477" s="6">
        <v>345</v>
      </c>
      <c r="F477" s="6">
        <v>73.2</v>
      </c>
      <c r="G477" s="5" t="s">
        <v>20</v>
      </c>
      <c r="H477" s="6">
        <v>1842</v>
      </c>
      <c r="I477" s="14">
        <f t="shared" si="70"/>
        <v>18385.3856069709</v>
      </c>
      <c r="J477" s="15">
        <f t="shared" si="71"/>
        <v>732.771459901578</v>
      </c>
      <c r="K477" s="15">
        <f t="shared" si="72"/>
        <v>17652.6141470693</v>
      </c>
      <c r="L477" s="15">
        <f t="shared" si="73"/>
        <v>0.039856192062882</v>
      </c>
      <c r="M477" s="15">
        <f t="shared" si="74"/>
        <v>0.0415106484397515</v>
      </c>
      <c r="N477" s="16">
        <f t="shared" si="75"/>
        <v>99.3506493506493</v>
      </c>
      <c r="O477" s="16">
        <f t="shared" si="76"/>
        <v>252806.153666044</v>
      </c>
      <c r="P477" s="16">
        <f t="shared" si="77"/>
        <v>1292171.35556547</v>
      </c>
      <c r="Q477" s="16">
        <f t="shared" si="78"/>
        <v>4.71311475409836</v>
      </c>
      <c r="R477" s="16">
        <f t="shared" si="79"/>
        <v>0.195644449613583</v>
      </c>
      <c r="S477" s="16">
        <v>8</v>
      </c>
    </row>
    <row r="478" spans="1:19">
      <c r="A478" s="5" t="s">
        <v>386</v>
      </c>
      <c r="B478" s="6">
        <v>153</v>
      </c>
      <c r="C478" s="6">
        <v>1.54</v>
      </c>
      <c r="D478" s="6">
        <v>306</v>
      </c>
      <c r="E478" s="6">
        <v>345</v>
      </c>
      <c r="F478" s="6">
        <v>73.2</v>
      </c>
      <c r="G478" s="5" t="s">
        <v>20</v>
      </c>
      <c r="H478" s="6">
        <v>1872</v>
      </c>
      <c r="I478" s="14">
        <f t="shared" si="70"/>
        <v>18385.3856069709</v>
      </c>
      <c r="J478" s="15">
        <f t="shared" si="71"/>
        <v>732.771459901578</v>
      </c>
      <c r="K478" s="15">
        <f t="shared" si="72"/>
        <v>17652.6141470693</v>
      </c>
      <c r="L478" s="15">
        <f t="shared" si="73"/>
        <v>0.039856192062882</v>
      </c>
      <c r="M478" s="15">
        <f t="shared" si="74"/>
        <v>0.0415106484397515</v>
      </c>
      <c r="N478" s="16">
        <f t="shared" si="75"/>
        <v>99.3506493506493</v>
      </c>
      <c r="O478" s="16">
        <f t="shared" si="76"/>
        <v>252806.153666044</v>
      </c>
      <c r="P478" s="16">
        <f t="shared" si="77"/>
        <v>1292171.35556547</v>
      </c>
      <c r="Q478" s="16">
        <f t="shared" si="78"/>
        <v>4.71311475409836</v>
      </c>
      <c r="R478" s="16">
        <f t="shared" si="79"/>
        <v>0.195644449613583</v>
      </c>
      <c r="S478" s="16">
        <v>8</v>
      </c>
    </row>
    <row r="479" spans="1:19">
      <c r="A479" s="5" t="s">
        <v>387</v>
      </c>
      <c r="B479" s="6">
        <v>250</v>
      </c>
      <c r="C479" s="6">
        <v>2.48</v>
      </c>
      <c r="D479" s="6">
        <v>500</v>
      </c>
      <c r="E479" s="6">
        <v>326</v>
      </c>
      <c r="F479" s="6">
        <v>73.2</v>
      </c>
      <c r="G479" s="5" t="s">
        <v>20</v>
      </c>
      <c r="H479" s="6">
        <v>4871</v>
      </c>
      <c r="I479" s="14">
        <f t="shared" si="70"/>
        <v>49087.3852123405</v>
      </c>
      <c r="J479" s="15">
        <f t="shared" si="71"/>
        <v>1928.46539376904</v>
      </c>
      <c r="K479" s="15">
        <f t="shared" si="72"/>
        <v>47158.9198185715</v>
      </c>
      <c r="L479" s="15">
        <f t="shared" si="73"/>
        <v>0.0392863744000001</v>
      </c>
      <c r="M479" s="15">
        <f t="shared" si="74"/>
        <v>0.0408929085141937</v>
      </c>
      <c r="N479" s="16">
        <f t="shared" si="75"/>
        <v>100.806451612903</v>
      </c>
      <c r="O479" s="16">
        <f t="shared" si="76"/>
        <v>628679.718368706</v>
      </c>
      <c r="P479" s="16">
        <f t="shared" si="77"/>
        <v>3452032.93071943</v>
      </c>
      <c r="Q479" s="16">
        <f t="shared" si="78"/>
        <v>4.45355191256831</v>
      </c>
      <c r="R479" s="16">
        <f t="shared" si="79"/>
        <v>0.182118690923868</v>
      </c>
      <c r="S479" s="16">
        <v>8</v>
      </c>
    </row>
    <row r="480" spans="1:19">
      <c r="A480" s="5" t="s">
        <v>388</v>
      </c>
      <c r="B480" s="6">
        <v>250</v>
      </c>
      <c r="C480" s="6">
        <v>2.48</v>
      </c>
      <c r="D480" s="6">
        <v>500</v>
      </c>
      <c r="E480" s="6">
        <v>326</v>
      </c>
      <c r="F480" s="6">
        <v>73.2</v>
      </c>
      <c r="G480" s="5" t="s">
        <v>20</v>
      </c>
      <c r="H480" s="6">
        <v>4528</v>
      </c>
      <c r="I480" s="14">
        <f t="shared" si="70"/>
        <v>49087.3852123405</v>
      </c>
      <c r="J480" s="15">
        <f t="shared" si="71"/>
        <v>1928.46539376904</v>
      </c>
      <c r="K480" s="15">
        <f t="shared" si="72"/>
        <v>47158.9198185715</v>
      </c>
      <c r="L480" s="15">
        <f t="shared" si="73"/>
        <v>0.0392863744000001</v>
      </c>
      <c r="M480" s="15">
        <f t="shared" si="74"/>
        <v>0.0408929085141937</v>
      </c>
      <c r="N480" s="16">
        <f t="shared" si="75"/>
        <v>100.806451612903</v>
      </c>
      <c r="O480" s="16">
        <f t="shared" si="76"/>
        <v>628679.718368706</v>
      </c>
      <c r="P480" s="16">
        <f t="shared" si="77"/>
        <v>3452032.93071943</v>
      </c>
      <c r="Q480" s="16">
        <f t="shared" si="78"/>
        <v>4.45355191256831</v>
      </c>
      <c r="R480" s="16">
        <f t="shared" si="79"/>
        <v>0.182118690923868</v>
      </c>
      <c r="S480" s="16">
        <v>8</v>
      </c>
    </row>
    <row r="481" spans="1:19">
      <c r="A481" s="5" t="s">
        <v>389</v>
      </c>
      <c r="B481" s="6">
        <v>250</v>
      </c>
      <c r="C481" s="6">
        <v>2.48</v>
      </c>
      <c r="D481" s="6">
        <v>500</v>
      </c>
      <c r="E481" s="6">
        <v>326</v>
      </c>
      <c r="F481" s="6">
        <v>73.2</v>
      </c>
      <c r="G481" s="5" t="s">
        <v>20</v>
      </c>
      <c r="H481" s="6">
        <v>4733</v>
      </c>
      <c r="I481" s="14">
        <f t="shared" si="70"/>
        <v>49087.3852123405</v>
      </c>
      <c r="J481" s="15">
        <f t="shared" si="71"/>
        <v>1928.46539376904</v>
      </c>
      <c r="K481" s="15">
        <f t="shared" si="72"/>
        <v>47158.9198185715</v>
      </c>
      <c r="L481" s="15">
        <f t="shared" si="73"/>
        <v>0.0392863744000001</v>
      </c>
      <c r="M481" s="15">
        <f t="shared" si="74"/>
        <v>0.0408929085141937</v>
      </c>
      <c r="N481" s="16">
        <f t="shared" si="75"/>
        <v>100.806451612903</v>
      </c>
      <c r="O481" s="16">
        <f t="shared" si="76"/>
        <v>628679.718368706</v>
      </c>
      <c r="P481" s="16">
        <f t="shared" si="77"/>
        <v>3452032.93071943</v>
      </c>
      <c r="Q481" s="16">
        <f t="shared" si="78"/>
        <v>4.45355191256831</v>
      </c>
      <c r="R481" s="16">
        <f t="shared" si="79"/>
        <v>0.182118690923868</v>
      </c>
      <c r="S481" s="16">
        <v>8</v>
      </c>
    </row>
    <row r="482" spans="1:19">
      <c r="A482" s="5" t="s">
        <v>390</v>
      </c>
      <c r="B482" s="6">
        <v>372</v>
      </c>
      <c r="C482" s="6">
        <v>3.64</v>
      </c>
      <c r="D482" s="6">
        <v>744</v>
      </c>
      <c r="E482" s="6">
        <v>320</v>
      </c>
      <c r="F482" s="6">
        <v>73.2</v>
      </c>
      <c r="G482" s="5" t="s">
        <v>20</v>
      </c>
      <c r="H482" s="6">
        <v>9163</v>
      </c>
      <c r="I482" s="14">
        <f t="shared" si="70"/>
        <v>108686.539443592</v>
      </c>
      <c r="J482" s="15">
        <f t="shared" si="71"/>
        <v>4212.34293434984</v>
      </c>
      <c r="K482" s="15">
        <f t="shared" si="72"/>
        <v>104474.196509243</v>
      </c>
      <c r="L482" s="15">
        <f t="shared" si="73"/>
        <v>0.0387568042548269</v>
      </c>
      <c r="M482" s="15">
        <f t="shared" si="74"/>
        <v>0.0403194575799124</v>
      </c>
      <c r="N482" s="16">
        <f t="shared" si="75"/>
        <v>102.197802197802</v>
      </c>
      <c r="O482" s="16">
        <f t="shared" si="76"/>
        <v>1347949.73899195</v>
      </c>
      <c r="P482" s="16">
        <f t="shared" si="77"/>
        <v>7647511.18447656</v>
      </c>
      <c r="Q482" s="16">
        <f t="shared" si="78"/>
        <v>4.37158469945355</v>
      </c>
      <c r="R482" s="16">
        <f t="shared" si="79"/>
        <v>0.176259923846611</v>
      </c>
      <c r="S482" s="16">
        <v>8</v>
      </c>
    </row>
    <row r="483" spans="1:19">
      <c r="A483" s="5" t="s">
        <v>391</v>
      </c>
      <c r="B483" s="6">
        <v>372</v>
      </c>
      <c r="C483" s="6">
        <v>3.64</v>
      </c>
      <c r="D483" s="6">
        <v>744</v>
      </c>
      <c r="E483" s="6">
        <v>320</v>
      </c>
      <c r="F483" s="6">
        <v>73.2</v>
      </c>
      <c r="G483" s="5" t="s">
        <v>20</v>
      </c>
      <c r="H483" s="6">
        <v>9996</v>
      </c>
      <c r="I483" s="14">
        <f t="shared" si="70"/>
        <v>108686.539443592</v>
      </c>
      <c r="J483" s="15">
        <f t="shared" si="71"/>
        <v>4212.34293434984</v>
      </c>
      <c r="K483" s="15">
        <f t="shared" si="72"/>
        <v>104474.196509243</v>
      </c>
      <c r="L483" s="15">
        <f t="shared" si="73"/>
        <v>0.0387568042548269</v>
      </c>
      <c r="M483" s="15">
        <f t="shared" si="74"/>
        <v>0.0403194575799124</v>
      </c>
      <c r="N483" s="16">
        <f t="shared" si="75"/>
        <v>102.197802197802</v>
      </c>
      <c r="O483" s="16">
        <f t="shared" si="76"/>
        <v>1347949.73899195</v>
      </c>
      <c r="P483" s="16">
        <f t="shared" si="77"/>
        <v>7647511.18447656</v>
      </c>
      <c r="Q483" s="16">
        <f t="shared" si="78"/>
        <v>4.37158469945355</v>
      </c>
      <c r="R483" s="16">
        <f t="shared" si="79"/>
        <v>0.176259923846611</v>
      </c>
      <c r="S483" s="16">
        <v>8</v>
      </c>
    </row>
    <row r="484" spans="1:19">
      <c r="A484" s="5" t="s">
        <v>392</v>
      </c>
      <c r="B484" s="6">
        <v>372</v>
      </c>
      <c r="C484" s="6">
        <v>3.64</v>
      </c>
      <c r="D484" s="6">
        <v>744</v>
      </c>
      <c r="E484" s="6">
        <v>320</v>
      </c>
      <c r="F484" s="6">
        <v>73.2</v>
      </c>
      <c r="G484" s="5" t="s">
        <v>20</v>
      </c>
      <c r="H484" s="6">
        <v>9604</v>
      </c>
      <c r="I484" s="14">
        <f t="shared" si="70"/>
        <v>108686.539443592</v>
      </c>
      <c r="J484" s="15">
        <f t="shared" si="71"/>
        <v>4212.34293434984</v>
      </c>
      <c r="K484" s="15">
        <f t="shared" si="72"/>
        <v>104474.196509243</v>
      </c>
      <c r="L484" s="15">
        <f t="shared" si="73"/>
        <v>0.0387568042548269</v>
      </c>
      <c r="M484" s="15">
        <f t="shared" si="74"/>
        <v>0.0403194575799124</v>
      </c>
      <c r="N484" s="16">
        <f t="shared" si="75"/>
        <v>102.197802197802</v>
      </c>
      <c r="O484" s="16">
        <f t="shared" si="76"/>
        <v>1347949.73899195</v>
      </c>
      <c r="P484" s="16">
        <f t="shared" si="77"/>
        <v>7647511.18447656</v>
      </c>
      <c r="Q484" s="16">
        <f t="shared" si="78"/>
        <v>4.37158469945355</v>
      </c>
      <c r="R484" s="16">
        <f t="shared" si="79"/>
        <v>0.176259923846611</v>
      </c>
      <c r="S484" s="16">
        <v>8</v>
      </c>
    </row>
    <row r="485" spans="1:19">
      <c r="A485" s="5" t="s">
        <v>393</v>
      </c>
      <c r="B485" s="6">
        <v>469</v>
      </c>
      <c r="C485" s="6">
        <v>4.66</v>
      </c>
      <c r="D485" s="6">
        <v>938</v>
      </c>
      <c r="E485" s="6">
        <v>291</v>
      </c>
      <c r="F485" s="6">
        <v>73.2</v>
      </c>
      <c r="G485" s="5" t="s">
        <v>20</v>
      </c>
      <c r="H485" s="6">
        <v>15827</v>
      </c>
      <c r="I485" s="14">
        <f t="shared" si="70"/>
        <v>172756.965419066</v>
      </c>
      <c r="J485" s="15">
        <f t="shared" si="71"/>
        <v>6797.85483869833</v>
      </c>
      <c r="K485" s="15">
        <f t="shared" si="72"/>
        <v>165959.110580368</v>
      </c>
      <c r="L485" s="15">
        <f t="shared" si="73"/>
        <v>0.0393492373648055</v>
      </c>
      <c r="M485" s="15">
        <f t="shared" si="74"/>
        <v>0.040961022356205</v>
      </c>
      <c r="N485" s="16">
        <f t="shared" si="75"/>
        <v>100.643776824034</v>
      </c>
      <c r="O485" s="16">
        <f t="shared" si="76"/>
        <v>1978175.75806122</v>
      </c>
      <c r="P485" s="16">
        <f t="shared" si="77"/>
        <v>12148206.8944829</v>
      </c>
      <c r="Q485" s="16">
        <f t="shared" si="78"/>
        <v>3.97540983606557</v>
      </c>
      <c r="R485" s="16">
        <f t="shared" si="79"/>
        <v>0.162836851170159</v>
      </c>
      <c r="S485" s="16">
        <v>8</v>
      </c>
    </row>
    <row r="486" spans="1:19">
      <c r="A486" s="5" t="s">
        <v>394</v>
      </c>
      <c r="B486" s="6">
        <v>469</v>
      </c>
      <c r="C486" s="6">
        <v>4.66</v>
      </c>
      <c r="D486" s="6">
        <v>938</v>
      </c>
      <c r="E486" s="6">
        <v>291</v>
      </c>
      <c r="F486" s="6">
        <v>73.2</v>
      </c>
      <c r="G486" s="5" t="s">
        <v>20</v>
      </c>
      <c r="H486" s="6">
        <v>16670</v>
      </c>
      <c r="I486" s="14">
        <f t="shared" si="70"/>
        <v>172756.965419066</v>
      </c>
      <c r="J486" s="15">
        <f t="shared" si="71"/>
        <v>6797.85483869833</v>
      </c>
      <c r="K486" s="15">
        <f t="shared" si="72"/>
        <v>165959.110580368</v>
      </c>
      <c r="L486" s="15">
        <f t="shared" si="73"/>
        <v>0.0393492373648055</v>
      </c>
      <c r="M486" s="15">
        <f t="shared" si="74"/>
        <v>0.040961022356205</v>
      </c>
      <c r="N486" s="16">
        <f t="shared" si="75"/>
        <v>100.643776824034</v>
      </c>
      <c r="O486" s="16">
        <f t="shared" si="76"/>
        <v>1978175.75806122</v>
      </c>
      <c r="P486" s="16">
        <f t="shared" si="77"/>
        <v>12148206.8944829</v>
      </c>
      <c r="Q486" s="16">
        <f t="shared" si="78"/>
        <v>3.97540983606557</v>
      </c>
      <c r="R486" s="16">
        <f t="shared" si="79"/>
        <v>0.162836851170159</v>
      </c>
      <c r="S486" s="16">
        <v>8</v>
      </c>
    </row>
    <row r="487" spans="1:19">
      <c r="A487" s="5" t="s">
        <v>395</v>
      </c>
      <c r="B487" s="6">
        <v>469</v>
      </c>
      <c r="C487" s="6">
        <v>4.66</v>
      </c>
      <c r="D487" s="6">
        <v>938</v>
      </c>
      <c r="E487" s="6">
        <v>291</v>
      </c>
      <c r="F487" s="6">
        <v>73.2</v>
      </c>
      <c r="G487" s="5" t="s">
        <v>20</v>
      </c>
      <c r="H487" s="6">
        <v>15239</v>
      </c>
      <c r="I487" s="14">
        <f t="shared" si="70"/>
        <v>172756.965419066</v>
      </c>
      <c r="J487" s="15">
        <f t="shared" si="71"/>
        <v>6797.85483869833</v>
      </c>
      <c r="K487" s="15">
        <f t="shared" si="72"/>
        <v>165959.110580368</v>
      </c>
      <c r="L487" s="15">
        <f t="shared" si="73"/>
        <v>0.0393492373648055</v>
      </c>
      <c r="M487" s="15">
        <f t="shared" si="74"/>
        <v>0.040961022356205</v>
      </c>
      <c r="N487" s="16">
        <f t="shared" si="75"/>
        <v>100.643776824034</v>
      </c>
      <c r="O487" s="16">
        <f t="shared" si="76"/>
        <v>1978175.75806122</v>
      </c>
      <c r="P487" s="16">
        <f t="shared" si="77"/>
        <v>12148206.8944829</v>
      </c>
      <c r="Q487" s="16">
        <f t="shared" si="78"/>
        <v>3.97540983606557</v>
      </c>
      <c r="R487" s="16">
        <f t="shared" si="79"/>
        <v>0.162836851170159</v>
      </c>
      <c r="S487" s="16">
        <v>8</v>
      </c>
    </row>
    <row r="488" spans="1:19">
      <c r="A488" s="5" t="s">
        <v>396</v>
      </c>
      <c r="B488" s="6">
        <v>157</v>
      </c>
      <c r="C488" s="6">
        <v>2.48</v>
      </c>
      <c r="D488" s="6">
        <v>314</v>
      </c>
      <c r="E488" s="6">
        <v>326</v>
      </c>
      <c r="F488" s="6">
        <v>73.2</v>
      </c>
      <c r="G488" s="5" t="s">
        <v>20</v>
      </c>
      <c r="H488" s="6">
        <v>2117</v>
      </c>
      <c r="I488" s="14">
        <f t="shared" si="70"/>
        <v>19359.2793295837</v>
      </c>
      <c r="J488" s="15">
        <f t="shared" si="71"/>
        <v>1203.88846414509</v>
      </c>
      <c r="K488" s="15">
        <f t="shared" si="72"/>
        <v>18155.3908654386</v>
      </c>
      <c r="L488" s="15">
        <f t="shared" si="73"/>
        <v>0.062186636374701</v>
      </c>
      <c r="M488" s="15">
        <f t="shared" si="74"/>
        <v>0.0663102476321157</v>
      </c>
      <c r="N488" s="16">
        <f t="shared" si="75"/>
        <v>63.3064516129032</v>
      </c>
      <c r="O488" s="16">
        <f t="shared" si="76"/>
        <v>392467.639311298</v>
      </c>
      <c r="P488" s="16">
        <f t="shared" si="77"/>
        <v>1328974.61135011</v>
      </c>
      <c r="Q488" s="16">
        <f t="shared" si="78"/>
        <v>4.45355191256831</v>
      </c>
      <c r="R488" s="16">
        <f t="shared" si="79"/>
        <v>0.295316130164887</v>
      </c>
      <c r="S488" s="16">
        <v>8</v>
      </c>
    </row>
    <row r="489" spans="1:19">
      <c r="A489" s="5" t="s">
        <v>397</v>
      </c>
      <c r="B489" s="6">
        <v>157</v>
      </c>
      <c r="C489" s="6">
        <v>2.48</v>
      </c>
      <c r="D489" s="6">
        <v>314</v>
      </c>
      <c r="E489" s="6">
        <v>326</v>
      </c>
      <c r="F489" s="6">
        <v>73.2</v>
      </c>
      <c r="G489" s="5" t="s">
        <v>20</v>
      </c>
      <c r="H489" s="6">
        <v>2058</v>
      </c>
      <c r="I489" s="14">
        <f t="shared" si="70"/>
        <v>19359.2793295837</v>
      </c>
      <c r="J489" s="15">
        <f t="shared" si="71"/>
        <v>1203.88846414509</v>
      </c>
      <c r="K489" s="15">
        <f t="shared" si="72"/>
        <v>18155.3908654386</v>
      </c>
      <c r="L489" s="15">
        <f t="shared" si="73"/>
        <v>0.062186636374701</v>
      </c>
      <c r="M489" s="15">
        <f t="shared" si="74"/>
        <v>0.0663102476321157</v>
      </c>
      <c r="N489" s="16">
        <f t="shared" si="75"/>
        <v>63.3064516129032</v>
      </c>
      <c r="O489" s="16">
        <f t="shared" si="76"/>
        <v>392467.639311298</v>
      </c>
      <c r="P489" s="16">
        <f t="shared" si="77"/>
        <v>1328974.61135011</v>
      </c>
      <c r="Q489" s="16">
        <f t="shared" si="78"/>
        <v>4.45355191256831</v>
      </c>
      <c r="R489" s="16">
        <f t="shared" si="79"/>
        <v>0.295316130164887</v>
      </c>
      <c r="S489" s="16">
        <v>8</v>
      </c>
    </row>
    <row r="490" spans="1:19">
      <c r="A490" s="5" t="s">
        <v>398</v>
      </c>
      <c r="B490" s="6">
        <v>157</v>
      </c>
      <c r="C490" s="6">
        <v>2.48</v>
      </c>
      <c r="D490" s="6">
        <v>314</v>
      </c>
      <c r="E490" s="6">
        <v>326</v>
      </c>
      <c r="F490" s="6">
        <v>73.2</v>
      </c>
      <c r="G490" s="5" t="s">
        <v>20</v>
      </c>
      <c r="H490" s="6">
        <v>2068</v>
      </c>
      <c r="I490" s="14">
        <f t="shared" si="70"/>
        <v>19359.2793295837</v>
      </c>
      <c r="J490" s="15">
        <f t="shared" si="71"/>
        <v>1203.88846414509</v>
      </c>
      <c r="K490" s="15">
        <f t="shared" si="72"/>
        <v>18155.3908654386</v>
      </c>
      <c r="L490" s="15">
        <f t="shared" si="73"/>
        <v>0.062186636374701</v>
      </c>
      <c r="M490" s="15">
        <f t="shared" si="74"/>
        <v>0.0663102476321157</v>
      </c>
      <c r="N490" s="16">
        <f t="shared" si="75"/>
        <v>63.3064516129032</v>
      </c>
      <c r="O490" s="16">
        <f t="shared" si="76"/>
        <v>392467.639311298</v>
      </c>
      <c r="P490" s="16">
        <f t="shared" si="77"/>
        <v>1328974.61135011</v>
      </c>
      <c r="Q490" s="16">
        <f t="shared" si="78"/>
        <v>4.45355191256831</v>
      </c>
      <c r="R490" s="16">
        <f t="shared" si="79"/>
        <v>0.295316130164887</v>
      </c>
      <c r="S490" s="16">
        <v>8</v>
      </c>
    </row>
    <row r="491" spans="1:19">
      <c r="A491" s="5" t="s">
        <v>399</v>
      </c>
      <c r="B491" s="6">
        <v>282</v>
      </c>
      <c r="C491" s="6">
        <v>4.36</v>
      </c>
      <c r="D491" s="6">
        <v>564</v>
      </c>
      <c r="E491" s="6">
        <v>322</v>
      </c>
      <c r="F491" s="6">
        <v>73.2</v>
      </c>
      <c r="G491" s="5" t="s">
        <v>20</v>
      </c>
      <c r="H491" s="6">
        <v>6811</v>
      </c>
      <c r="I491" s="14">
        <f t="shared" si="70"/>
        <v>62458.0035460187</v>
      </c>
      <c r="J491" s="15">
        <f t="shared" si="71"/>
        <v>3802.93057973405</v>
      </c>
      <c r="K491" s="15">
        <f t="shared" si="72"/>
        <v>58655.0729662846</v>
      </c>
      <c r="L491" s="15">
        <f t="shared" si="73"/>
        <v>0.0608878024244255</v>
      </c>
      <c r="M491" s="15">
        <f t="shared" si="74"/>
        <v>0.0648354931195807</v>
      </c>
      <c r="N491" s="16">
        <f t="shared" si="75"/>
        <v>64.6788990825688</v>
      </c>
      <c r="O491" s="16">
        <f t="shared" si="76"/>
        <v>1224543.64667436</v>
      </c>
      <c r="P491" s="16">
        <f t="shared" si="77"/>
        <v>4293551.34113203</v>
      </c>
      <c r="Q491" s="16">
        <f t="shared" si="78"/>
        <v>4.39890710382514</v>
      </c>
      <c r="R491" s="16">
        <f t="shared" si="79"/>
        <v>0.285205311263729</v>
      </c>
      <c r="S491" s="16">
        <v>8</v>
      </c>
    </row>
    <row r="492" spans="1:19">
      <c r="A492" s="5" t="s">
        <v>400</v>
      </c>
      <c r="B492" s="6">
        <v>282</v>
      </c>
      <c r="C492" s="6">
        <v>4.36</v>
      </c>
      <c r="D492" s="6">
        <v>564</v>
      </c>
      <c r="E492" s="6">
        <v>322</v>
      </c>
      <c r="F492" s="6">
        <v>73.2</v>
      </c>
      <c r="G492" s="5" t="s">
        <v>20</v>
      </c>
      <c r="H492" s="6">
        <v>6380</v>
      </c>
      <c r="I492" s="14">
        <f t="shared" si="70"/>
        <v>62458.0035460187</v>
      </c>
      <c r="J492" s="15">
        <f t="shared" si="71"/>
        <v>3802.93057973405</v>
      </c>
      <c r="K492" s="15">
        <f t="shared" si="72"/>
        <v>58655.0729662846</v>
      </c>
      <c r="L492" s="15">
        <f t="shared" si="73"/>
        <v>0.0608878024244255</v>
      </c>
      <c r="M492" s="15">
        <f t="shared" si="74"/>
        <v>0.0648354931195807</v>
      </c>
      <c r="N492" s="16">
        <f t="shared" si="75"/>
        <v>64.6788990825688</v>
      </c>
      <c r="O492" s="16">
        <f t="shared" si="76"/>
        <v>1224543.64667436</v>
      </c>
      <c r="P492" s="16">
        <f t="shared" si="77"/>
        <v>4293551.34113203</v>
      </c>
      <c r="Q492" s="16">
        <f t="shared" si="78"/>
        <v>4.39890710382514</v>
      </c>
      <c r="R492" s="16">
        <f t="shared" si="79"/>
        <v>0.285205311263729</v>
      </c>
      <c r="S492" s="16">
        <v>8</v>
      </c>
    </row>
    <row r="493" spans="1:19">
      <c r="A493" s="5" t="s">
        <v>401</v>
      </c>
      <c r="B493" s="6">
        <v>282</v>
      </c>
      <c r="C493" s="6">
        <v>4.36</v>
      </c>
      <c r="D493" s="6">
        <v>564</v>
      </c>
      <c r="E493" s="6">
        <v>322</v>
      </c>
      <c r="F493" s="6">
        <v>73.2</v>
      </c>
      <c r="G493" s="5" t="s">
        <v>20</v>
      </c>
      <c r="H493" s="6">
        <v>6860</v>
      </c>
      <c r="I493" s="14">
        <f t="shared" si="70"/>
        <v>62458.0035460187</v>
      </c>
      <c r="J493" s="15">
        <f t="shared" si="71"/>
        <v>3802.93057973405</v>
      </c>
      <c r="K493" s="15">
        <f t="shared" si="72"/>
        <v>58655.0729662846</v>
      </c>
      <c r="L493" s="15">
        <f t="shared" si="73"/>
        <v>0.0608878024244255</v>
      </c>
      <c r="M493" s="15">
        <f t="shared" si="74"/>
        <v>0.0648354931195807</v>
      </c>
      <c r="N493" s="16">
        <f t="shared" si="75"/>
        <v>64.6788990825688</v>
      </c>
      <c r="O493" s="16">
        <f t="shared" si="76"/>
        <v>1224543.64667436</v>
      </c>
      <c r="P493" s="16">
        <f t="shared" si="77"/>
        <v>4293551.34113203</v>
      </c>
      <c r="Q493" s="16">
        <f t="shared" si="78"/>
        <v>4.39890710382514</v>
      </c>
      <c r="R493" s="16">
        <f t="shared" si="79"/>
        <v>0.285205311263729</v>
      </c>
      <c r="S493" s="16">
        <v>8</v>
      </c>
    </row>
    <row r="494" spans="1:19">
      <c r="A494" s="5" t="s">
        <v>402</v>
      </c>
      <c r="B494" s="6">
        <v>358</v>
      </c>
      <c r="C494" s="6">
        <v>5.66</v>
      </c>
      <c r="D494" s="6">
        <v>716</v>
      </c>
      <c r="E494" s="6">
        <v>290</v>
      </c>
      <c r="F494" s="6">
        <v>73.2</v>
      </c>
      <c r="G494" s="5" t="s">
        <v>20</v>
      </c>
      <c r="H494" s="6">
        <v>9947</v>
      </c>
      <c r="I494" s="14">
        <f t="shared" si="70"/>
        <v>100659.770213671</v>
      </c>
      <c r="J494" s="15">
        <f t="shared" si="71"/>
        <v>6265.10355650258</v>
      </c>
      <c r="K494" s="15">
        <f t="shared" si="72"/>
        <v>94394.666657168</v>
      </c>
      <c r="L494" s="15">
        <f t="shared" si="73"/>
        <v>0.0622403919977529</v>
      </c>
      <c r="M494" s="15">
        <f t="shared" si="74"/>
        <v>0.0663713722222974</v>
      </c>
      <c r="N494" s="16">
        <f t="shared" si="75"/>
        <v>63.2508833922262</v>
      </c>
      <c r="O494" s="16">
        <f t="shared" si="76"/>
        <v>1816880.03138575</v>
      </c>
      <c r="P494" s="16">
        <f t="shared" si="77"/>
        <v>6909689.5993047</v>
      </c>
      <c r="Q494" s="16">
        <f t="shared" si="78"/>
        <v>3.96174863387978</v>
      </c>
      <c r="R494" s="16">
        <f t="shared" si="79"/>
        <v>0.262946693230413</v>
      </c>
      <c r="S494" s="16">
        <v>8</v>
      </c>
    </row>
    <row r="495" spans="1:19">
      <c r="A495" s="5" t="s">
        <v>403</v>
      </c>
      <c r="B495" s="6">
        <v>358</v>
      </c>
      <c r="C495" s="6">
        <v>5.66</v>
      </c>
      <c r="D495" s="6">
        <v>716</v>
      </c>
      <c r="E495" s="6">
        <v>290</v>
      </c>
      <c r="F495" s="6">
        <v>73.2</v>
      </c>
      <c r="G495" s="5" t="s">
        <v>20</v>
      </c>
      <c r="H495" s="6">
        <v>10045</v>
      </c>
      <c r="I495" s="14">
        <f t="shared" si="70"/>
        <v>100659.770213671</v>
      </c>
      <c r="J495" s="15">
        <f t="shared" si="71"/>
        <v>6265.10355650258</v>
      </c>
      <c r="K495" s="15">
        <f t="shared" si="72"/>
        <v>94394.666657168</v>
      </c>
      <c r="L495" s="15">
        <f t="shared" si="73"/>
        <v>0.0622403919977529</v>
      </c>
      <c r="M495" s="15">
        <f t="shared" si="74"/>
        <v>0.0663713722222974</v>
      </c>
      <c r="N495" s="16">
        <f t="shared" si="75"/>
        <v>63.2508833922262</v>
      </c>
      <c r="O495" s="16">
        <f t="shared" si="76"/>
        <v>1816880.03138575</v>
      </c>
      <c r="P495" s="16">
        <f t="shared" si="77"/>
        <v>6909689.5993047</v>
      </c>
      <c r="Q495" s="16">
        <f t="shared" si="78"/>
        <v>3.96174863387978</v>
      </c>
      <c r="R495" s="16">
        <f t="shared" si="79"/>
        <v>0.262946693230413</v>
      </c>
      <c r="S495" s="16">
        <v>8</v>
      </c>
    </row>
    <row r="496" spans="1:19">
      <c r="A496" s="5" t="s">
        <v>404</v>
      </c>
      <c r="B496" s="6">
        <v>358</v>
      </c>
      <c r="C496" s="6">
        <v>5.66</v>
      </c>
      <c r="D496" s="6">
        <v>716</v>
      </c>
      <c r="E496" s="6">
        <v>290</v>
      </c>
      <c r="F496" s="6">
        <v>73.2</v>
      </c>
      <c r="G496" s="5" t="s">
        <v>20</v>
      </c>
      <c r="H496" s="6">
        <v>9609</v>
      </c>
      <c r="I496" s="14">
        <f t="shared" si="70"/>
        <v>100659.770213671</v>
      </c>
      <c r="J496" s="15">
        <f t="shared" si="71"/>
        <v>6265.10355650258</v>
      </c>
      <c r="K496" s="15">
        <f t="shared" si="72"/>
        <v>94394.666657168</v>
      </c>
      <c r="L496" s="15">
        <f t="shared" si="73"/>
        <v>0.0622403919977529</v>
      </c>
      <c r="M496" s="15">
        <f t="shared" si="74"/>
        <v>0.0663713722222974</v>
      </c>
      <c r="N496" s="16">
        <f t="shared" si="75"/>
        <v>63.2508833922262</v>
      </c>
      <c r="O496" s="16">
        <f t="shared" si="76"/>
        <v>1816880.03138575</v>
      </c>
      <c r="P496" s="16">
        <f t="shared" si="77"/>
        <v>6909689.5993047</v>
      </c>
      <c r="Q496" s="16">
        <f t="shared" si="78"/>
        <v>3.96174863387978</v>
      </c>
      <c r="R496" s="16">
        <f t="shared" si="79"/>
        <v>0.262946693230413</v>
      </c>
      <c r="S496" s="16">
        <v>8</v>
      </c>
    </row>
    <row r="497" spans="1:19">
      <c r="A497" s="5" t="s">
        <v>405</v>
      </c>
      <c r="B497" s="6">
        <v>474</v>
      </c>
      <c r="C497" s="6">
        <v>7.42</v>
      </c>
      <c r="D497" s="6">
        <v>948</v>
      </c>
      <c r="E497" s="6">
        <v>317</v>
      </c>
      <c r="F497" s="6">
        <v>73.2</v>
      </c>
      <c r="G497" s="5" t="s">
        <v>20</v>
      </c>
      <c r="H497" s="6">
        <v>17787</v>
      </c>
      <c r="I497" s="14">
        <f t="shared" si="70"/>
        <v>176460.117759485</v>
      </c>
      <c r="J497" s="15">
        <f t="shared" si="71"/>
        <v>10876.2679083145</v>
      </c>
      <c r="K497" s="15">
        <f t="shared" si="72"/>
        <v>165583.849851171</v>
      </c>
      <c r="L497" s="15">
        <f t="shared" si="73"/>
        <v>0.0616358418344637</v>
      </c>
      <c r="M497" s="15">
        <f t="shared" si="74"/>
        <v>0.0656843521761949</v>
      </c>
      <c r="N497" s="16">
        <f t="shared" si="75"/>
        <v>63.8814016172507</v>
      </c>
      <c r="O497" s="16">
        <f t="shared" si="76"/>
        <v>3447776.92693569</v>
      </c>
      <c r="P497" s="16">
        <f t="shared" si="77"/>
        <v>12120737.8091057</v>
      </c>
      <c r="Q497" s="16">
        <f t="shared" si="78"/>
        <v>4.33060109289617</v>
      </c>
      <c r="R497" s="16">
        <f t="shared" si="79"/>
        <v>0.284452727320407</v>
      </c>
      <c r="S497" s="16">
        <v>8</v>
      </c>
    </row>
    <row r="498" spans="1:19">
      <c r="A498" s="5" t="s">
        <v>406</v>
      </c>
      <c r="B498" s="6">
        <v>474</v>
      </c>
      <c r="C498" s="6">
        <v>7.42</v>
      </c>
      <c r="D498" s="6">
        <v>948</v>
      </c>
      <c r="E498" s="6">
        <v>317</v>
      </c>
      <c r="F498" s="6">
        <v>73.2</v>
      </c>
      <c r="G498" s="5" t="s">
        <v>20</v>
      </c>
      <c r="H498" s="6">
        <v>18306</v>
      </c>
      <c r="I498" s="14">
        <f t="shared" si="70"/>
        <v>176460.117759485</v>
      </c>
      <c r="J498" s="15">
        <f t="shared" si="71"/>
        <v>10876.2679083145</v>
      </c>
      <c r="K498" s="15">
        <f t="shared" si="72"/>
        <v>165583.849851171</v>
      </c>
      <c r="L498" s="15">
        <f t="shared" si="73"/>
        <v>0.0616358418344637</v>
      </c>
      <c r="M498" s="15">
        <f t="shared" si="74"/>
        <v>0.0656843521761949</v>
      </c>
      <c r="N498" s="16">
        <f t="shared" si="75"/>
        <v>63.8814016172507</v>
      </c>
      <c r="O498" s="16">
        <f t="shared" si="76"/>
        <v>3447776.92693569</v>
      </c>
      <c r="P498" s="16">
        <f t="shared" si="77"/>
        <v>12120737.8091057</v>
      </c>
      <c r="Q498" s="16">
        <f t="shared" si="78"/>
        <v>4.33060109289617</v>
      </c>
      <c r="R498" s="16">
        <f t="shared" si="79"/>
        <v>0.284452727320407</v>
      </c>
      <c r="S498" s="16">
        <v>8</v>
      </c>
    </row>
    <row r="499" spans="1:19">
      <c r="A499" s="5" t="s">
        <v>407</v>
      </c>
      <c r="B499" s="6">
        <v>474</v>
      </c>
      <c r="C499" s="6">
        <v>7.42</v>
      </c>
      <c r="D499" s="6">
        <v>948</v>
      </c>
      <c r="E499" s="6">
        <v>317</v>
      </c>
      <c r="F499" s="6">
        <v>73.2</v>
      </c>
      <c r="G499" s="5" t="s">
        <v>20</v>
      </c>
      <c r="H499" s="6">
        <v>17885</v>
      </c>
      <c r="I499" s="14">
        <f t="shared" si="70"/>
        <v>176460.117759485</v>
      </c>
      <c r="J499" s="15">
        <f t="shared" si="71"/>
        <v>10876.2679083145</v>
      </c>
      <c r="K499" s="15">
        <f t="shared" si="72"/>
        <v>165583.849851171</v>
      </c>
      <c r="L499" s="15">
        <f t="shared" si="73"/>
        <v>0.0616358418344637</v>
      </c>
      <c r="M499" s="15">
        <f t="shared" si="74"/>
        <v>0.0656843521761949</v>
      </c>
      <c r="N499" s="16">
        <f t="shared" si="75"/>
        <v>63.8814016172507</v>
      </c>
      <c r="O499" s="16">
        <f t="shared" si="76"/>
        <v>3447776.92693569</v>
      </c>
      <c r="P499" s="16">
        <f t="shared" si="77"/>
        <v>12120737.8091057</v>
      </c>
      <c r="Q499" s="16">
        <f t="shared" si="78"/>
        <v>4.33060109289617</v>
      </c>
      <c r="R499" s="16">
        <f t="shared" si="79"/>
        <v>0.284452727320407</v>
      </c>
      <c r="S499" s="16">
        <v>8</v>
      </c>
    </row>
    <row r="500" spans="1:19">
      <c r="A500" s="5" t="s">
        <v>408</v>
      </c>
      <c r="B500" s="6">
        <v>153</v>
      </c>
      <c r="C500" s="6">
        <v>3.64</v>
      </c>
      <c r="D500" s="6">
        <v>306</v>
      </c>
      <c r="E500" s="6">
        <v>320</v>
      </c>
      <c r="F500" s="6">
        <v>73.2</v>
      </c>
      <c r="G500" s="5" t="s">
        <v>20</v>
      </c>
      <c r="H500" s="6">
        <v>2264</v>
      </c>
      <c r="I500" s="14">
        <f t="shared" si="70"/>
        <v>18385.3856069709</v>
      </c>
      <c r="J500" s="15">
        <f t="shared" si="71"/>
        <v>1707.99093461422</v>
      </c>
      <c r="K500" s="15">
        <f t="shared" si="72"/>
        <v>16677.3946723566</v>
      </c>
      <c r="L500" s="15">
        <f t="shared" si="73"/>
        <v>0.0928993805801187</v>
      </c>
      <c r="M500" s="15">
        <f t="shared" si="74"/>
        <v>0.102413534498004</v>
      </c>
      <c r="N500" s="16">
        <f t="shared" si="75"/>
        <v>42.032967032967</v>
      </c>
      <c r="O500" s="16">
        <f t="shared" si="76"/>
        <v>546557.099076552</v>
      </c>
      <c r="P500" s="16">
        <f t="shared" si="77"/>
        <v>1220785.29001651</v>
      </c>
      <c r="Q500" s="16">
        <f t="shared" si="78"/>
        <v>4.37158469945355</v>
      </c>
      <c r="R500" s="16">
        <f t="shared" si="79"/>
        <v>0.447709440428433</v>
      </c>
      <c r="S500" s="16">
        <v>8</v>
      </c>
    </row>
    <row r="501" spans="1:19">
      <c r="A501" s="5" t="s">
        <v>409</v>
      </c>
      <c r="B501" s="6">
        <v>153</v>
      </c>
      <c r="C501" s="6">
        <v>3.64</v>
      </c>
      <c r="D501" s="6">
        <v>306</v>
      </c>
      <c r="E501" s="6">
        <v>320</v>
      </c>
      <c r="F501" s="6">
        <v>73.2</v>
      </c>
      <c r="G501" s="5" t="s">
        <v>20</v>
      </c>
      <c r="H501" s="6">
        <v>2274</v>
      </c>
      <c r="I501" s="14">
        <f t="shared" si="70"/>
        <v>18385.3856069709</v>
      </c>
      <c r="J501" s="15">
        <f t="shared" si="71"/>
        <v>1707.99093461422</v>
      </c>
      <c r="K501" s="15">
        <f t="shared" si="72"/>
        <v>16677.3946723566</v>
      </c>
      <c r="L501" s="15">
        <f t="shared" si="73"/>
        <v>0.0928993805801187</v>
      </c>
      <c r="M501" s="15">
        <f t="shared" si="74"/>
        <v>0.102413534498004</v>
      </c>
      <c r="N501" s="16">
        <f t="shared" si="75"/>
        <v>42.032967032967</v>
      </c>
      <c r="O501" s="16">
        <f t="shared" si="76"/>
        <v>546557.099076552</v>
      </c>
      <c r="P501" s="16">
        <f t="shared" si="77"/>
        <v>1220785.29001651</v>
      </c>
      <c r="Q501" s="16">
        <f t="shared" si="78"/>
        <v>4.37158469945355</v>
      </c>
      <c r="R501" s="16">
        <f t="shared" si="79"/>
        <v>0.447709440428433</v>
      </c>
      <c r="S501" s="16">
        <v>8</v>
      </c>
    </row>
    <row r="502" spans="1:19">
      <c r="A502" s="5" t="s">
        <v>410</v>
      </c>
      <c r="B502" s="6">
        <v>153</v>
      </c>
      <c r="C502" s="6">
        <v>3.64</v>
      </c>
      <c r="D502" s="6">
        <v>306</v>
      </c>
      <c r="E502" s="6">
        <v>320</v>
      </c>
      <c r="F502" s="6">
        <v>73.2</v>
      </c>
      <c r="G502" s="5" t="s">
        <v>20</v>
      </c>
      <c r="H502" s="6">
        <v>2205</v>
      </c>
      <c r="I502" s="14">
        <f t="shared" si="70"/>
        <v>18385.3856069709</v>
      </c>
      <c r="J502" s="15">
        <f t="shared" si="71"/>
        <v>1707.99093461422</v>
      </c>
      <c r="K502" s="15">
        <f t="shared" si="72"/>
        <v>16677.3946723566</v>
      </c>
      <c r="L502" s="15">
        <f t="shared" si="73"/>
        <v>0.0928993805801187</v>
      </c>
      <c r="M502" s="15">
        <f t="shared" si="74"/>
        <v>0.102413534498004</v>
      </c>
      <c r="N502" s="16">
        <f t="shared" si="75"/>
        <v>42.032967032967</v>
      </c>
      <c r="O502" s="16">
        <f t="shared" si="76"/>
        <v>546557.099076552</v>
      </c>
      <c r="P502" s="16">
        <f t="shared" si="77"/>
        <v>1220785.29001651</v>
      </c>
      <c r="Q502" s="16">
        <f t="shared" si="78"/>
        <v>4.37158469945355</v>
      </c>
      <c r="R502" s="16">
        <f t="shared" si="79"/>
        <v>0.447709440428433</v>
      </c>
      <c r="S502" s="16">
        <v>8</v>
      </c>
    </row>
    <row r="503" spans="1:19">
      <c r="A503" s="5" t="s">
        <v>411</v>
      </c>
      <c r="B503" s="6">
        <v>235</v>
      </c>
      <c r="C503" s="6">
        <v>5.66</v>
      </c>
      <c r="D503" s="6">
        <v>470</v>
      </c>
      <c r="E503" s="6">
        <v>290</v>
      </c>
      <c r="F503" s="6">
        <v>73.2</v>
      </c>
      <c r="G503" s="5" t="s">
        <v>20</v>
      </c>
      <c r="H503" s="6">
        <v>5390</v>
      </c>
      <c r="I503" s="14">
        <f t="shared" si="70"/>
        <v>43373.6135736241</v>
      </c>
      <c r="J503" s="15">
        <f t="shared" si="71"/>
        <v>4077.98958292644</v>
      </c>
      <c r="K503" s="15">
        <f t="shared" si="72"/>
        <v>39295.6239906976</v>
      </c>
      <c r="L503" s="15">
        <f t="shared" si="73"/>
        <v>0.0940200561339972</v>
      </c>
      <c r="M503" s="15">
        <f t="shared" si="74"/>
        <v>0.103777193712252</v>
      </c>
      <c r="N503" s="16">
        <f t="shared" si="75"/>
        <v>41.5194346289753</v>
      </c>
      <c r="O503" s="16">
        <f t="shared" si="76"/>
        <v>1182616.97904867</v>
      </c>
      <c r="P503" s="16">
        <f t="shared" si="77"/>
        <v>2876439.67611907</v>
      </c>
      <c r="Q503" s="16">
        <f t="shared" si="78"/>
        <v>3.96174863387978</v>
      </c>
      <c r="R503" s="16">
        <f t="shared" si="79"/>
        <v>0.411139155417391</v>
      </c>
      <c r="S503" s="16">
        <v>8</v>
      </c>
    </row>
    <row r="504" spans="1:19">
      <c r="A504" s="5" t="s">
        <v>412</v>
      </c>
      <c r="B504" s="6">
        <v>235</v>
      </c>
      <c r="C504" s="6">
        <v>5.66</v>
      </c>
      <c r="D504" s="6">
        <v>470</v>
      </c>
      <c r="E504" s="6">
        <v>290</v>
      </c>
      <c r="F504" s="6">
        <v>73.2</v>
      </c>
      <c r="G504" s="5" t="s">
        <v>20</v>
      </c>
      <c r="H504" s="6">
        <v>5047</v>
      </c>
      <c r="I504" s="14">
        <f t="shared" si="70"/>
        <v>43373.6135736241</v>
      </c>
      <c r="J504" s="15">
        <f t="shared" si="71"/>
        <v>4077.98958292644</v>
      </c>
      <c r="K504" s="15">
        <f t="shared" si="72"/>
        <v>39295.6239906976</v>
      </c>
      <c r="L504" s="15">
        <f t="shared" si="73"/>
        <v>0.0940200561339972</v>
      </c>
      <c r="M504" s="15">
        <f t="shared" si="74"/>
        <v>0.103777193712252</v>
      </c>
      <c r="N504" s="16">
        <f t="shared" si="75"/>
        <v>41.5194346289753</v>
      </c>
      <c r="O504" s="16">
        <f t="shared" si="76"/>
        <v>1182616.97904867</v>
      </c>
      <c r="P504" s="16">
        <f t="shared" si="77"/>
        <v>2876439.67611907</v>
      </c>
      <c r="Q504" s="16">
        <f t="shared" si="78"/>
        <v>3.96174863387978</v>
      </c>
      <c r="R504" s="16">
        <f t="shared" si="79"/>
        <v>0.411139155417391</v>
      </c>
      <c r="S504" s="16">
        <v>8</v>
      </c>
    </row>
    <row r="505" spans="1:19">
      <c r="A505" s="5" t="s">
        <v>413</v>
      </c>
      <c r="B505" s="6">
        <v>235</v>
      </c>
      <c r="C505" s="6">
        <v>5.66</v>
      </c>
      <c r="D505" s="6">
        <v>470</v>
      </c>
      <c r="E505" s="6">
        <v>290</v>
      </c>
      <c r="F505" s="6">
        <v>73.2</v>
      </c>
      <c r="G505" s="5" t="s">
        <v>20</v>
      </c>
      <c r="H505" s="6">
        <v>5096</v>
      </c>
      <c r="I505" s="14">
        <f t="shared" si="70"/>
        <v>43373.6135736241</v>
      </c>
      <c r="J505" s="15">
        <f t="shared" si="71"/>
        <v>4077.98958292644</v>
      </c>
      <c r="K505" s="15">
        <f t="shared" si="72"/>
        <v>39295.6239906976</v>
      </c>
      <c r="L505" s="15">
        <f t="shared" si="73"/>
        <v>0.0940200561339972</v>
      </c>
      <c r="M505" s="15">
        <f t="shared" si="74"/>
        <v>0.103777193712252</v>
      </c>
      <c r="N505" s="16">
        <f t="shared" si="75"/>
        <v>41.5194346289753</v>
      </c>
      <c r="O505" s="16">
        <f t="shared" si="76"/>
        <v>1182616.97904867</v>
      </c>
      <c r="P505" s="16">
        <f t="shared" si="77"/>
        <v>2876439.67611907</v>
      </c>
      <c r="Q505" s="16">
        <f t="shared" si="78"/>
        <v>3.96174863387978</v>
      </c>
      <c r="R505" s="16">
        <f t="shared" si="79"/>
        <v>0.411139155417391</v>
      </c>
      <c r="S505" s="16">
        <v>8</v>
      </c>
    </row>
    <row r="506" spans="1:19">
      <c r="A506" s="5" t="s">
        <v>414</v>
      </c>
      <c r="B506" s="6">
        <v>393</v>
      </c>
      <c r="C506" s="6">
        <v>9.38</v>
      </c>
      <c r="D506" s="6">
        <v>786</v>
      </c>
      <c r="E506" s="6">
        <v>312</v>
      </c>
      <c r="F506" s="6">
        <v>73.2</v>
      </c>
      <c r="G506" s="5" t="s">
        <v>20</v>
      </c>
      <c r="H506" s="6">
        <v>13936</v>
      </c>
      <c r="I506" s="14">
        <f t="shared" si="70"/>
        <v>121303.960938572</v>
      </c>
      <c r="J506" s="15">
        <f t="shared" si="71"/>
        <v>11304.5675179637</v>
      </c>
      <c r="K506" s="15">
        <f t="shared" si="72"/>
        <v>109999.393420609</v>
      </c>
      <c r="L506" s="15">
        <f t="shared" si="73"/>
        <v>0.0931920724640495</v>
      </c>
      <c r="M506" s="15">
        <f t="shared" si="74"/>
        <v>0.102769362324917</v>
      </c>
      <c r="N506" s="16">
        <f t="shared" si="75"/>
        <v>41.8976545842217</v>
      </c>
      <c r="O506" s="16">
        <f t="shared" si="76"/>
        <v>3527025.06560467</v>
      </c>
      <c r="P506" s="16">
        <f t="shared" si="77"/>
        <v>8051955.59838857</v>
      </c>
      <c r="Q506" s="16">
        <f t="shared" si="78"/>
        <v>4.26229508196721</v>
      </c>
      <c r="R506" s="16">
        <f t="shared" si="79"/>
        <v>0.438033347614402</v>
      </c>
      <c r="S506" s="16">
        <v>8</v>
      </c>
    </row>
    <row r="507" spans="1:19">
      <c r="A507" s="5" t="s">
        <v>415</v>
      </c>
      <c r="B507" s="6">
        <v>393</v>
      </c>
      <c r="C507" s="6">
        <v>9.38</v>
      </c>
      <c r="D507" s="6">
        <v>786</v>
      </c>
      <c r="E507" s="6">
        <v>312</v>
      </c>
      <c r="F507" s="6">
        <v>73.2</v>
      </c>
      <c r="G507" s="5" t="s">
        <v>20</v>
      </c>
      <c r="H507" s="6">
        <v>14406</v>
      </c>
      <c r="I507" s="14">
        <f t="shared" si="70"/>
        <v>121303.960938572</v>
      </c>
      <c r="J507" s="15">
        <f t="shared" si="71"/>
        <v>11304.5675179637</v>
      </c>
      <c r="K507" s="15">
        <f t="shared" si="72"/>
        <v>109999.393420609</v>
      </c>
      <c r="L507" s="15">
        <f t="shared" si="73"/>
        <v>0.0931920724640495</v>
      </c>
      <c r="M507" s="15">
        <f t="shared" si="74"/>
        <v>0.102769362324917</v>
      </c>
      <c r="N507" s="16">
        <f t="shared" si="75"/>
        <v>41.8976545842217</v>
      </c>
      <c r="O507" s="16">
        <f t="shared" si="76"/>
        <v>3527025.06560467</v>
      </c>
      <c r="P507" s="16">
        <f t="shared" si="77"/>
        <v>8051955.59838857</v>
      </c>
      <c r="Q507" s="16">
        <f t="shared" si="78"/>
        <v>4.26229508196721</v>
      </c>
      <c r="R507" s="16">
        <f t="shared" si="79"/>
        <v>0.438033347614402</v>
      </c>
      <c r="S507" s="16">
        <v>8</v>
      </c>
    </row>
    <row r="508" spans="1:19">
      <c r="A508" s="5" t="s">
        <v>416</v>
      </c>
      <c r="B508" s="6">
        <v>393</v>
      </c>
      <c r="C508" s="6">
        <v>9.38</v>
      </c>
      <c r="D508" s="6">
        <v>786</v>
      </c>
      <c r="E508" s="6">
        <v>312</v>
      </c>
      <c r="F508" s="6">
        <v>73.2</v>
      </c>
      <c r="G508" s="5" t="s">
        <v>20</v>
      </c>
      <c r="H508" s="6">
        <v>14161</v>
      </c>
      <c r="I508" s="14">
        <f t="shared" si="70"/>
        <v>121303.960938572</v>
      </c>
      <c r="J508" s="15">
        <f t="shared" si="71"/>
        <v>11304.5675179637</v>
      </c>
      <c r="K508" s="15">
        <f t="shared" si="72"/>
        <v>109999.393420609</v>
      </c>
      <c r="L508" s="15">
        <f t="shared" si="73"/>
        <v>0.0931920724640495</v>
      </c>
      <c r="M508" s="15">
        <f t="shared" si="74"/>
        <v>0.102769362324917</v>
      </c>
      <c r="N508" s="16">
        <f t="shared" si="75"/>
        <v>41.8976545842217</v>
      </c>
      <c r="O508" s="16">
        <f t="shared" si="76"/>
        <v>3527025.06560467</v>
      </c>
      <c r="P508" s="16">
        <f t="shared" si="77"/>
        <v>8051955.59838857</v>
      </c>
      <c r="Q508" s="16">
        <f t="shared" si="78"/>
        <v>4.26229508196721</v>
      </c>
      <c r="R508" s="16">
        <f t="shared" si="79"/>
        <v>0.438033347614402</v>
      </c>
      <c r="S508" s="16">
        <v>8</v>
      </c>
    </row>
    <row r="509" spans="1:19">
      <c r="A509" s="5" t="s">
        <v>417</v>
      </c>
      <c r="B509" s="6">
        <v>477</v>
      </c>
      <c r="C509" s="6">
        <v>11.36</v>
      </c>
      <c r="D509" s="6">
        <v>954</v>
      </c>
      <c r="E509" s="6">
        <v>310</v>
      </c>
      <c r="F509" s="6">
        <v>73.2</v>
      </c>
      <c r="G509" s="5" t="s">
        <v>20</v>
      </c>
      <c r="H509" s="6">
        <v>20237</v>
      </c>
      <c r="I509" s="14">
        <f t="shared" si="70"/>
        <v>178700.858719658</v>
      </c>
      <c r="J509" s="15">
        <f t="shared" si="71"/>
        <v>16617.9896685514</v>
      </c>
      <c r="K509" s="15">
        <f t="shared" si="72"/>
        <v>162082.869051107</v>
      </c>
      <c r="L509" s="15">
        <f t="shared" si="73"/>
        <v>0.0929933397500978</v>
      </c>
      <c r="M509" s="15">
        <f t="shared" si="74"/>
        <v>0.102527736372383</v>
      </c>
      <c r="N509" s="16">
        <f t="shared" si="75"/>
        <v>41.9894366197183</v>
      </c>
      <c r="O509" s="16">
        <f t="shared" si="76"/>
        <v>5151576.79725093</v>
      </c>
      <c r="P509" s="16">
        <f t="shared" si="77"/>
        <v>11864466.014541</v>
      </c>
      <c r="Q509" s="16">
        <f t="shared" si="78"/>
        <v>4.23497267759563</v>
      </c>
      <c r="R509" s="16">
        <f t="shared" si="79"/>
        <v>0.434202162232771</v>
      </c>
      <c r="S509" s="16">
        <v>8</v>
      </c>
    </row>
    <row r="510" spans="1:19">
      <c r="A510" s="5" t="s">
        <v>418</v>
      </c>
      <c r="B510" s="6">
        <v>477</v>
      </c>
      <c r="C510" s="6">
        <v>11.36</v>
      </c>
      <c r="D510" s="6">
        <v>954</v>
      </c>
      <c r="E510" s="6">
        <v>310</v>
      </c>
      <c r="F510" s="6">
        <v>73.2</v>
      </c>
      <c r="G510" s="5" t="s">
        <v>20</v>
      </c>
      <c r="H510" s="6">
        <v>20462</v>
      </c>
      <c r="I510" s="14">
        <f t="shared" si="70"/>
        <v>178700.858719658</v>
      </c>
      <c r="J510" s="15">
        <f t="shared" si="71"/>
        <v>16617.9896685514</v>
      </c>
      <c r="K510" s="15">
        <f t="shared" si="72"/>
        <v>162082.869051107</v>
      </c>
      <c r="L510" s="15">
        <f t="shared" si="73"/>
        <v>0.0929933397500978</v>
      </c>
      <c r="M510" s="15">
        <f t="shared" si="74"/>
        <v>0.102527736372383</v>
      </c>
      <c r="N510" s="16">
        <f t="shared" si="75"/>
        <v>41.9894366197183</v>
      </c>
      <c r="O510" s="16">
        <f t="shared" si="76"/>
        <v>5151576.79725093</v>
      </c>
      <c r="P510" s="16">
        <f t="shared" si="77"/>
        <v>11864466.014541</v>
      </c>
      <c r="Q510" s="16">
        <f t="shared" si="78"/>
        <v>4.23497267759563</v>
      </c>
      <c r="R510" s="16">
        <f t="shared" si="79"/>
        <v>0.434202162232771</v>
      </c>
      <c r="S510" s="16">
        <v>8</v>
      </c>
    </row>
    <row r="511" spans="1:19">
      <c r="A511" s="5" t="s">
        <v>419</v>
      </c>
      <c r="B511" s="6">
        <v>477</v>
      </c>
      <c r="C511" s="6">
        <v>11.36</v>
      </c>
      <c r="D511" s="6">
        <v>954</v>
      </c>
      <c r="E511" s="6">
        <v>310</v>
      </c>
      <c r="F511" s="6">
        <v>73.2</v>
      </c>
      <c r="G511" s="5" t="s">
        <v>20</v>
      </c>
      <c r="H511" s="6">
        <v>19854</v>
      </c>
      <c r="I511" s="14">
        <f t="shared" si="70"/>
        <v>178700.858719658</v>
      </c>
      <c r="J511" s="15">
        <f t="shared" si="71"/>
        <v>16617.9896685514</v>
      </c>
      <c r="K511" s="15">
        <f t="shared" si="72"/>
        <v>162082.869051107</v>
      </c>
      <c r="L511" s="15">
        <f t="shared" si="73"/>
        <v>0.0929933397500978</v>
      </c>
      <c r="M511" s="15">
        <f t="shared" si="74"/>
        <v>0.102527736372383</v>
      </c>
      <c r="N511" s="16">
        <f t="shared" si="75"/>
        <v>41.9894366197183</v>
      </c>
      <c r="O511" s="16">
        <f t="shared" si="76"/>
        <v>5151576.79725093</v>
      </c>
      <c r="P511" s="16">
        <f t="shared" si="77"/>
        <v>11864466.014541</v>
      </c>
      <c r="Q511" s="16">
        <f t="shared" si="78"/>
        <v>4.23497267759563</v>
      </c>
      <c r="R511" s="16">
        <f t="shared" si="79"/>
        <v>0.434202162232771</v>
      </c>
      <c r="S511" s="16">
        <v>8</v>
      </c>
    </row>
    <row r="512" spans="1:19">
      <c r="A512" s="5" t="s">
        <v>420</v>
      </c>
      <c r="B512" s="6">
        <v>140</v>
      </c>
      <c r="C512" s="6">
        <v>4.5</v>
      </c>
      <c r="D512" s="6">
        <v>420</v>
      </c>
      <c r="E512" s="6">
        <v>374.2</v>
      </c>
      <c r="F512" s="6">
        <v>28</v>
      </c>
      <c r="G512" s="5" t="s">
        <v>337</v>
      </c>
      <c r="H512" s="6">
        <v>1275.3</v>
      </c>
      <c r="I512" s="14">
        <f t="shared" si="70"/>
        <v>15393.80400259</v>
      </c>
      <c r="J512" s="15">
        <f t="shared" si="71"/>
        <v>1915.58612052638</v>
      </c>
      <c r="K512" s="15">
        <f t="shared" si="72"/>
        <v>13478.2178820636</v>
      </c>
      <c r="L512" s="15">
        <f t="shared" si="73"/>
        <v>0.124438775510204</v>
      </c>
      <c r="M512" s="15">
        <f t="shared" si="74"/>
        <v>0.142124584814405</v>
      </c>
      <c r="N512" s="16">
        <f t="shared" si="75"/>
        <v>31.1111111111111</v>
      </c>
      <c r="O512" s="16">
        <f t="shared" si="76"/>
        <v>716812.32630097</v>
      </c>
      <c r="P512" s="16">
        <f t="shared" si="77"/>
        <v>377390.100697781</v>
      </c>
      <c r="Q512" s="16">
        <f t="shared" si="78"/>
        <v>13.3642857142857</v>
      </c>
      <c r="R512" s="16">
        <f t="shared" si="79"/>
        <v>1.89939355848394</v>
      </c>
      <c r="S512" s="16">
        <v>12</v>
      </c>
    </row>
    <row r="513" spans="1:19">
      <c r="A513" s="5" t="s">
        <v>421</v>
      </c>
      <c r="B513" s="6">
        <v>140</v>
      </c>
      <c r="C513" s="6">
        <v>4.5</v>
      </c>
      <c r="D513" s="6">
        <v>420</v>
      </c>
      <c r="E513" s="6">
        <v>374.2</v>
      </c>
      <c r="F513" s="6">
        <v>28</v>
      </c>
      <c r="G513" s="5" t="s">
        <v>337</v>
      </c>
      <c r="H513" s="6">
        <v>1294.5</v>
      </c>
      <c r="I513" s="14">
        <f t="shared" si="70"/>
        <v>15393.80400259</v>
      </c>
      <c r="J513" s="15">
        <f t="shared" si="71"/>
        <v>1915.58612052638</v>
      </c>
      <c r="K513" s="15">
        <f t="shared" si="72"/>
        <v>13478.2178820636</v>
      </c>
      <c r="L513" s="15">
        <f t="shared" si="73"/>
        <v>0.124438775510204</v>
      </c>
      <c r="M513" s="15">
        <f t="shared" si="74"/>
        <v>0.142124584814405</v>
      </c>
      <c r="N513" s="16">
        <f t="shared" si="75"/>
        <v>31.1111111111111</v>
      </c>
      <c r="O513" s="16">
        <f t="shared" si="76"/>
        <v>716812.32630097</v>
      </c>
      <c r="P513" s="16">
        <f t="shared" si="77"/>
        <v>377390.100697781</v>
      </c>
      <c r="Q513" s="16">
        <f t="shared" si="78"/>
        <v>13.3642857142857</v>
      </c>
      <c r="R513" s="16">
        <f t="shared" si="79"/>
        <v>1.89939355848394</v>
      </c>
      <c r="S513" s="16">
        <v>12</v>
      </c>
    </row>
    <row r="514" spans="1:19">
      <c r="A514" s="5" t="s">
        <v>422</v>
      </c>
      <c r="B514" s="6">
        <v>140</v>
      </c>
      <c r="C514" s="6">
        <v>4.5</v>
      </c>
      <c r="D514" s="6">
        <v>420</v>
      </c>
      <c r="E514" s="6">
        <v>374.2</v>
      </c>
      <c r="F514" s="6">
        <v>39</v>
      </c>
      <c r="G514" s="5" t="s">
        <v>337</v>
      </c>
      <c r="H514" s="6">
        <v>1406.4</v>
      </c>
      <c r="I514" s="14">
        <f t="shared" si="70"/>
        <v>15393.80400259</v>
      </c>
      <c r="J514" s="15">
        <f t="shared" si="71"/>
        <v>1915.58612052638</v>
      </c>
      <c r="K514" s="15">
        <f t="shared" si="72"/>
        <v>13478.2178820636</v>
      </c>
      <c r="L514" s="15">
        <f t="shared" si="73"/>
        <v>0.124438775510204</v>
      </c>
      <c r="M514" s="15">
        <f t="shared" si="74"/>
        <v>0.142124584814405</v>
      </c>
      <c r="N514" s="16">
        <f t="shared" si="75"/>
        <v>31.1111111111111</v>
      </c>
      <c r="O514" s="16">
        <f t="shared" si="76"/>
        <v>716812.32630097</v>
      </c>
      <c r="P514" s="16">
        <f t="shared" si="77"/>
        <v>525650.497400481</v>
      </c>
      <c r="Q514" s="16">
        <f t="shared" si="78"/>
        <v>9.59487179487179</v>
      </c>
      <c r="R514" s="16">
        <f t="shared" si="79"/>
        <v>1.3636671701936</v>
      </c>
      <c r="S514" s="16">
        <v>12</v>
      </c>
    </row>
    <row r="515" spans="1:19">
      <c r="A515" s="5" t="s">
        <v>423</v>
      </c>
      <c r="B515" s="6">
        <v>140</v>
      </c>
      <c r="C515" s="6">
        <v>4.5</v>
      </c>
      <c r="D515" s="6">
        <v>420</v>
      </c>
      <c r="E515" s="6">
        <v>374.2</v>
      </c>
      <c r="F515" s="6">
        <v>39</v>
      </c>
      <c r="G515" s="5" t="s">
        <v>337</v>
      </c>
      <c r="H515" s="6">
        <v>1405</v>
      </c>
      <c r="I515" s="14">
        <f t="shared" ref="I515:I578" si="80">(PI()*B515^2)/4</f>
        <v>15393.80400259</v>
      </c>
      <c r="J515" s="15">
        <f t="shared" ref="J515:J578" si="81">(PI()*(B515^2-(B515-2*C515)^2))/4</f>
        <v>1915.58612052638</v>
      </c>
      <c r="K515" s="15">
        <f t="shared" ref="K515:K578" si="82">(PI()*(B515-2*C515)^2)/4</f>
        <v>13478.2178820636</v>
      </c>
      <c r="L515" s="15">
        <f t="shared" ref="L515:L578" si="83">J515/I515</f>
        <v>0.124438775510204</v>
      </c>
      <c r="M515" s="15">
        <f t="shared" ref="M515:M578" si="84">J515/K515</f>
        <v>0.142124584814405</v>
      </c>
      <c r="N515" s="16">
        <f t="shared" ref="N515:N578" si="85">B515/C515</f>
        <v>31.1111111111111</v>
      </c>
      <c r="O515" s="16">
        <f t="shared" ref="O515:O578" si="86">J515*E515</f>
        <v>716812.32630097</v>
      </c>
      <c r="P515" s="16">
        <f t="shared" ref="P515:P578" si="87">K515*F515</f>
        <v>525650.497400481</v>
      </c>
      <c r="Q515" s="16">
        <f t="shared" ref="Q515:Q578" si="88">E515/F515</f>
        <v>9.59487179487179</v>
      </c>
      <c r="R515" s="16">
        <f t="shared" ref="R515:R578" si="89">O515/P515</f>
        <v>1.3636671701936</v>
      </c>
      <c r="S515" s="16">
        <v>12</v>
      </c>
    </row>
    <row r="516" spans="1:19">
      <c r="A516" s="5" t="s">
        <v>424</v>
      </c>
      <c r="B516" s="6">
        <v>140</v>
      </c>
      <c r="C516" s="6">
        <v>4.5</v>
      </c>
      <c r="D516" s="6">
        <v>420</v>
      </c>
      <c r="E516" s="6">
        <v>374.2</v>
      </c>
      <c r="F516" s="6">
        <v>52</v>
      </c>
      <c r="G516" s="5" t="s">
        <v>337</v>
      </c>
      <c r="H516" s="6">
        <v>1524.3</v>
      </c>
      <c r="I516" s="14">
        <f t="shared" si="80"/>
        <v>15393.80400259</v>
      </c>
      <c r="J516" s="15">
        <f t="shared" si="81"/>
        <v>1915.58612052638</v>
      </c>
      <c r="K516" s="15">
        <f t="shared" si="82"/>
        <v>13478.2178820636</v>
      </c>
      <c r="L516" s="15">
        <f t="shared" si="83"/>
        <v>0.124438775510204</v>
      </c>
      <c r="M516" s="15">
        <f t="shared" si="84"/>
        <v>0.142124584814405</v>
      </c>
      <c r="N516" s="16">
        <f t="shared" si="85"/>
        <v>31.1111111111111</v>
      </c>
      <c r="O516" s="16">
        <f t="shared" si="86"/>
        <v>716812.32630097</v>
      </c>
      <c r="P516" s="16">
        <f t="shared" si="87"/>
        <v>700867.329867308</v>
      </c>
      <c r="Q516" s="16">
        <f t="shared" si="88"/>
        <v>7.19615384615385</v>
      </c>
      <c r="R516" s="16">
        <f t="shared" si="89"/>
        <v>1.0227503776452</v>
      </c>
      <c r="S516" s="16">
        <v>12</v>
      </c>
    </row>
    <row r="517" spans="1:19">
      <c r="A517" s="5" t="s">
        <v>425</v>
      </c>
      <c r="B517" s="6">
        <v>140</v>
      </c>
      <c r="C517" s="6">
        <v>4.5</v>
      </c>
      <c r="D517" s="6">
        <v>420</v>
      </c>
      <c r="E517" s="6">
        <v>374.2</v>
      </c>
      <c r="F517" s="6">
        <v>52</v>
      </c>
      <c r="G517" s="5" t="s">
        <v>337</v>
      </c>
      <c r="H517" s="6">
        <v>1530.4</v>
      </c>
      <c r="I517" s="14">
        <f t="shared" si="80"/>
        <v>15393.80400259</v>
      </c>
      <c r="J517" s="15">
        <f t="shared" si="81"/>
        <v>1915.58612052638</v>
      </c>
      <c r="K517" s="15">
        <f t="shared" si="82"/>
        <v>13478.2178820636</v>
      </c>
      <c r="L517" s="15">
        <f t="shared" si="83"/>
        <v>0.124438775510204</v>
      </c>
      <c r="M517" s="15">
        <f t="shared" si="84"/>
        <v>0.142124584814405</v>
      </c>
      <c r="N517" s="16">
        <f t="shared" si="85"/>
        <v>31.1111111111111</v>
      </c>
      <c r="O517" s="16">
        <f t="shared" si="86"/>
        <v>716812.32630097</v>
      </c>
      <c r="P517" s="16">
        <f t="shared" si="87"/>
        <v>700867.329867308</v>
      </c>
      <c r="Q517" s="16">
        <f t="shared" si="88"/>
        <v>7.19615384615385</v>
      </c>
      <c r="R517" s="16">
        <f t="shared" si="89"/>
        <v>1.0227503776452</v>
      </c>
      <c r="S517" s="16">
        <v>12</v>
      </c>
    </row>
    <row r="518" spans="1:19">
      <c r="A518" s="5" t="s">
        <v>426</v>
      </c>
      <c r="B518" s="6">
        <v>140</v>
      </c>
      <c r="C518" s="6">
        <v>4.5</v>
      </c>
      <c r="D518" s="6">
        <v>420</v>
      </c>
      <c r="E518" s="6">
        <v>462.9</v>
      </c>
      <c r="F518" s="6">
        <v>28</v>
      </c>
      <c r="G518" s="5" t="s">
        <v>337</v>
      </c>
      <c r="H518" s="6">
        <v>1646.7</v>
      </c>
      <c r="I518" s="14">
        <f t="shared" si="80"/>
        <v>15393.80400259</v>
      </c>
      <c r="J518" s="15">
        <f t="shared" si="81"/>
        <v>1915.58612052638</v>
      </c>
      <c r="K518" s="15">
        <f t="shared" si="82"/>
        <v>13478.2178820636</v>
      </c>
      <c r="L518" s="15">
        <f t="shared" si="83"/>
        <v>0.124438775510204</v>
      </c>
      <c r="M518" s="15">
        <f t="shared" si="84"/>
        <v>0.142124584814405</v>
      </c>
      <c r="N518" s="16">
        <f t="shared" si="85"/>
        <v>31.1111111111111</v>
      </c>
      <c r="O518" s="16">
        <f t="shared" si="86"/>
        <v>886724.81519166</v>
      </c>
      <c r="P518" s="16">
        <f t="shared" si="87"/>
        <v>377390.100697781</v>
      </c>
      <c r="Q518" s="16">
        <f t="shared" si="88"/>
        <v>16.5321428571429</v>
      </c>
      <c r="R518" s="16">
        <f t="shared" si="89"/>
        <v>2.34962393966386</v>
      </c>
      <c r="S518" s="16">
        <v>12</v>
      </c>
    </row>
    <row r="519" spans="1:19">
      <c r="A519" s="5" t="s">
        <v>427</v>
      </c>
      <c r="B519" s="6">
        <v>140</v>
      </c>
      <c r="C519" s="6">
        <v>4.5</v>
      </c>
      <c r="D519" s="6">
        <v>420</v>
      </c>
      <c r="E519" s="6">
        <v>462.9</v>
      </c>
      <c r="F519" s="6">
        <v>28</v>
      </c>
      <c r="G519" s="5" t="s">
        <v>337</v>
      </c>
      <c r="H519" s="6">
        <v>1662.3</v>
      </c>
      <c r="I519" s="14">
        <f t="shared" si="80"/>
        <v>15393.80400259</v>
      </c>
      <c r="J519" s="15">
        <f t="shared" si="81"/>
        <v>1915.58612052638</v>
      </c>
      <c r="K519" s="15">
        <f t="shared" si="82"/>
        <v>13478.2178820636</v>
      </c>
      <c r="L519" s="15">
        <f t="shared" si="83"/>
        <v>0.124438775510204</v>
      </c>
      <c r="M519" s="15">
        <f t="shared" si="84"/>
        <v>0.142124584814405</v>
      </c>
      <c r="N519" s="16">
        <f t="shared" si="85"/>
        <v>31.1111111111111</v>
      </c>
      <c r="O519" s="16">
        <f t="shared" si="86"/>
        <v>886724.81519166</v>
      </c>
      <c r="P519" s="16">
        <f t="shared" si="87"/>
        <v>377390.100697781</v>
      </c>
      <c r="Q519" s="16">
        <f t="shared" si="88"/>
        <v>16.5321428571429</v>
      </c>
      <c r="R519" s="16">
        <f t="shared" si="89"/>
        <v>2.34962393966386</v>
      </c>
      <c r="S519" s="16">
        <v>12</v>
      </c>
    </row>
    <row r="520" spans="1:19">
      <c r="A520" s="5" t="s">
        <v>428</v>
      </c>
      <c r="B520" s="6">
        <v>140</v>
      </c>
      <c r="C520" s="6">
        <v>4.5</v>
      </c>
      <c r="D520" s="6">
        <v>420</v>
      </c>
      <c r="E520" s="6">
        <v>462.9</v>
      </c>
      <c r="F520" s="6">
        <v>39</v>
      </c>
      <c r="G520" s="5" t="s">
        <v>337</v>
      </c>
      <c r="H520" s="6">
        <v>1763.9</v>
      </c>
      <c r="I520" s="14">
        <f t="shared" si="80"/>
        <v>15393.80400259</v>
      </c>
      <c r="J520" s="15">
        <f t="shared" si="81"/>
        <v>1915.58612052638</v>
      </c>
      <c r="K520" s="15">
        <f t="shared" si="82"/>
        <v>13478.2178820636</v>
      </c>
      <c r="L520" s="15">
        <f t="shared" si="83"/>
        <v>0.124438775510204</v>
      </c>
      <c r="M520" s="15">
        <f t="shared" si="84"/>
        <v>0.142124584814405</v>
      </c>
      <c r="N520" s="16">
        <f t="shared" si="85"/>
        <v>31.1111111111111</v>
      </c>
      <c r="O520" s="16">
        <f t="shared" si="86"/>
        <v>886724.81519166</v>
      </c>
      <c r="P520" s="16">
        <f t="shared" si="87"/>
        <v>525650.497400481</v>
      </c>
      <c r="Q520" s="16">
        <f t="shared" si="88"/>
        <v>11.8692307692308</v>
      </c>
      <c r="R520" s="16">
        <f t="shared" si="89"/>
        <v>1.68690949514328</v>
      </c>
      <c r="S520" s="16">
        <v>12</v>
      </c>
    </row>
    <row r="521" spans="1:19">
      <c r="A521" s="5" t="s">
        <v>429</v>
      </c>
      <c r="B521" s="6">
        <v>140</v>
      </c>
      <c r="C521" s="6">
        <v>4.5</v>
      </c>
      <c r="D521" s="6">
        <v>420</v>
      </c>
      <c r="E521" s="6">
        <v>462.9</v>
      </c>
      <c r="F521" s="6">
        <v>39</v>
      </c>
      <c r="G521" s="5" t="s">
        <v>337</v>
      </c>
      <c r="H521" s="6">
        <v>1753.8</v>
      </c>
      <c r="I521" s="14">
        <f t="shared" si="80"/>
        <v>15393.80400259</v>
      </c>
      <c r="J521" s="15">
        <f t="shared" si="81"/>
        <v>1915.58612052638</v>
      </c>
      <c r="K521" s="15">
        <f t="shared" si="82"/>
        <v>13478.2178820636</v>
      </c>
      <c r="L521" s="15">
        <f t="shared" si="83"/>
        <v>0.124438775510204</v>
      </c>
      <c r="M521" s="15">
        <f t="shared" si="84"/>
        <v>0.142124584814405</v>
      </c>
      <c r="N521" s="16">
        <f t="shared" si="85"/>
        <v>31.1111111111111</v>
      </c>
      <c r="O521" s="16">
        <f t="shared" si="86"/>
        <v>886724.81519166</v>
      </c>
      <c r="P521" s="16">
        <f t="shared" si="87"/>
        <v>525650.497400481</v>
      </c>
      <c r="Q521" s="16">
        <f t="shared" si="88"/>
        <v>11.8692307692308</v>
      </c>
      <c r="R521" s="16">
        <f t="shared" si="89"/>
        <v>1.68690949514328</v>
      </c>
      <c r="S521" s="16">
        <v>12</v>
      </c>
    </row>
    <row r="522" spans="1:19">
      <c r="A522" s="5" t="s">
        <v>430</v>
      </c>
      <c r="B522" s="6">
        <v>140</v>
      </c>
      <c r="C522" s="6">
        <v>4.5</v>
      </c>
      <c r="D522" s="6">
        <v>420</v>
      </c>
      <c r="E522" s="6">
        <v>462.9</v>
      </c>
      <c r="F522" s="6">
        <v>52</v>
      </c>
      <c r="G522" s="5" t="s">
        <v>337</v>
      </c>
      <c r="H522" s="6">
        <v>1865.2</v>
      </c>
      <c r="I522" s="14">
        <f t="shared" si="80"/>
        <v>15393.80400259</v>
      </c>
      <c r="J522" s="15">
        <f t="shared" si="81"/>
        <v>1915.58612052638</v>
      </c>
      <c r="K522" s="15">
        <f t="shared" si="82"/>
        <v>13478.2178820636</v>
      </c>
      <c r="L522" s="15">
        <f t="shared" si="83"/>
        <v>0.124438775510204</v>
      </c>
      <c r="M522" s="15">
        <f t="shared" si="84"/>
        <v>0.142124584814405</v>
      </c>
      <c r="N522" s="16">
        <f t="shared" si="85"/>
        <v>31.1111111111111</v>
      </c>
      <c r="O522" s="16">
        <f t="shared" si="86"/>
        <v>886724.81519166</v>
      </c>
      <c r="P522" s="16">
        <f t="shared" si="87"/>
        <v>700867.329867308</v>
      </c>
      <c r="Q522" s="16">
        <f t="shared" si="88"/>
        <v>8.90192307692308</v>
      </c>
      <c r="R522" s="16">
        <f t="shared" si="89"/>
        <v>1.26518212135746</v>
      </c>
      <c r="S522" s="16">
        <v>12</v>
      </c>
    </row>
    <row r="523" spans="1:19">
      <c r="A523" s="5" t="s">
        <v>431</v>
      </c>
      <c r="B523" s="6">
        <v>140</v>
      </c>
      <c r="C523" s="6">
        <v>4.5</v>
      </c>
      <c r="D523" s="6">
        <v>420</v>
      </c>
      <c r="E523" s="6">
        <v>462.9</v>
      </c>
      <c r="F523" s="6">
        <v>52</v>
      </c>
      <c r="G523" s="5" t="s">
        <v>337</v>
      </c>
      <c r="H523" s="6">
        <v>1871.6</v>
      </c>
      <c r="I523" s="14">
        <f t="shared" si="80"/>
        <v>15393.80400259</v>
      </c>
      <c r="J523" s="15">
        <f t="shared" si="81"/>
        <v>1915.58612052638</v>
      </c>
      <c r="K523" s="15">
        <f t="shared" si="82"/>
        <v>13478.2178820636</v>
      </c>
      <c r="L523" s="15">
        <f t="shared" si="83"/>
        <v>0.124438775510204</v>
      </c>
      <c r="M523" s="15">
        <f t="shared" si="84"/>
        <v>0.142124584814405</v>
      </c>
      <c r="N523" s="16">
        <f t="shared" si="85"/>
        <v>31.1111111111111</v>
      </c>
      <c r="O523" s="16">
        <f t="shared" si="86"/>
        <v>886724.81519166</v>
      </c>
      <c r="P523" s="16">
        <f t="shared" si="87"/>
        <v>700867.329867308</v>
      </c>
      <c r="Q523" s="16">
        <f t="shared" si="88"/>
        <v>8.90192307692308</v>
      </c>
      <c r="R523" s="16">
        <f t="shared" si="89"/>
        <v>1.26518212135746</v>
      </c>
      <c r="S523" s="16">
        <v>12</v>
      </c>
    </row>
    <row r="524" spans="1:19">
      <c r="A524" s="5" t="s">
        <v>432</v>
      </c>
      <c r="B524" s="6">
        <v>216.3</v>
      </c>
      <c r="C524" s="6">
        <v>8.2</v>
      </c>
      <c r="D524" s="6">
        <v>648.9</v>
      </c>
      <c r="E524" s="6">
        <v>381.1</v>
      </c>
      <c r="F524" s="6">
        <v>41</v>
      </c>
      <c r="G524" s="5" t="s">
        <v>337</v>
      </c>
      <c r="H524" s="6">
        <v>3788.4</v>
      </c>
      <c r="I524" s="14">
        <f t="shared" si="80"/>
        <v>36745.3949992824</v>
      </c>
      <c r="J524" s="15">
        <f t="shared" si="81"/>
        <v>5360.8765359387</v>
      </c>
      <c r="K524" s="15">
        <f t="shared" si="82"/>
        <v>31384.5184633437</v>
      </c>
      <c r="L524" s="15">
        <f t="shared" si="83"/>
        <v>0.145892472677009</v>
      </c>
      <c r="M524" s="15">
        <f t="shared" si="84"/>
        <v>0.170812770066874</v>
      </c>
      <c r="N524" s="16">
        <f t="shared" si="85"/>
        <v>26.3780487804878</v>
      </c>
      <c r="O524" s="16">
        <f t="shared" si="86"/>
        <v>2043030.04784624</v>
      </c>
      <c r="P524" s="16">
        <f t="shared" si="87"/>
        <v>1286765.25699709</v>
      </c>
      <c r="Q524" s="16">
        <f t="shared" si="88"/>
        <v>9.29512195121951</v>
      </c>
      <c r="R524" s="16">
        <f t="shared" si="89"/>
        <v>1.58772552859722</v>
      </c>
      <c r="S524" s="16">
        <v>12</v>
      </c>
    </row>
    <row r="525" spans="1:19">
      <c r="A525" s="5" t="s">
        <v>433</v>
      </c>
      <c r="B525" s="6">
        <v>216.3</v>
      </c>
      <c r="C525" s="6">
        <v>8.2</v>
      </c>
      <c r="D525" s="6">
        <v>648.9</v>
      </c>
      <c r="E525" s="6">
        <v>381.1</v>
      </c>
      <c r="F525" s="6">
        <v>41</v>
      </c>
      <c r="G525" s="5" t="s">
        <v>337</v>
      </c>
      <c r="H525" s="6">
        <v>3800.3</v>
      </c>
      <c r="I525" s="14">
        <f t="shared" si="80"/>
        <v>36745.3949992824</v>
      </c>
      <c r="J525" s="15">
        <f t="shared" si="81"/>
        <v>5360.8765359387</v>
      </c>
      <c r="K525" s="15">
        <f t="shared" si="82"/>
        <v>31384.5184633437</v>
      </c>
      <c r="L525" s="15">
        <f t="shared" si="83"/>
        <v>0.145892472677009</v>
      </c>
      <c r="M525" s="15">
        <f t="shared" si="84"/>
        <v>0.170812770066874</v>
      </c>
      <c r="N525" s="16">
        <f t="shared" si="85"/>
        <v>26.3780487804878</v>
      </c>
      <c r="O525" s="16">
        <f t="shared" si="86"/>
        <v>2043030.04784624</v>
      </c>
      <c r="P525" s="16">
        <f t="shared" si="87"/>
        <v>1286765.25699709</v>
      </c>
      <c r="Q525" s="16">
        <f t="shared" si="88"/>
        <v>9.29512195121951</v>
      </c>
      <c r="R525" s="16">
        <f t="shared" si="89"/>
        <v>1.58772552859722</v>
      </c>
      <c r="S525" s="16">
        <v>12</v>
      </c>
    </row>
    <row r="526" spans="1:19">
      <c r="A526" s="5" t="s">
        <v>434</v>
      </c>
      <c r="B526" s="6">
        <v>190.7</v>
      </c>
      <c r="C526" s="6">
        <v>5.3</v>
      </c>
      <c r="D526" s="6">
        <v>572.1</v>
      </c>
      <c r="E526" s="6">
        <v>382.5</v>
      </c>
      <c r="F526" s="6">
        <v>41</v>
      </c>
      <c r="G526" s="5" t="s">
        <v>337</v>
      </c>
      <c r="H526" s="6">
        <v>2530.3</v>
      </c>
      <c r="I526" s="14">
        <f t="shared" si="80"/>
        <v>28562.1744552117</v>
      </c>
      <c r="J526" s="15">
        <f t="shared" si="81"/>
        <v>3086.9917732704</v>
      </c>
      <c r="K526" s="15">
        <f t="shared" si="82"/>
        <v>25475.1826819413</v>
      </c>
      <c r="L526" s="15">
        <f t="shared" si="83"/>
        <v>0.108079718444095</v>
      </c>
      <c r="M526" s="15">
        <f t="shared" si="84"/>
        <v>0.121176433229611</v>
      </c>
      <c r="N526" s="16">
        <f t="shared" si="85"/>
        <v>35.9811320754717</v>
      </c>
      <c r="O526" s="16">
        <f t="shared" si="86"/>
        <v>1180774.35327593</v>
      </c>
      <c r="P526" s="16">
        <f t="shared" si="87"/>
        <v>1044482.48995959</v>
      </c>
      <c r="Q526" s="16">
        <f t="shared" si="88"/>
        <v>9.32926829268293</v>
      </c>
      <c r="R526" s="16">
        <f t="shared" si="89"/>
        <v>1.13048745634942</v>
      </c>
      <c r="S526" s="16">
        <v>12</v>
      </c>
    </row>
    <row r="527" spans="1:19">
      <c r="A527" s="5" t="s">
        <v>435</v>
      </c>
      <c r="B527" s="6">
        <v>190.7</v>
      </c>
      <c r="C527" s="6">
        <v>5.3</v>
      </c>
      <c r="D527" s="6">
        <v>572.1</v>
      </c>
      <c r="E527" s="6">
        <v>382.5</v>
      </c>
      <c r="F527" s="6">
        <v>41</v>
      </c>
      <c r="G527" s="5" t="s">
        <v>337</v>
      </c>
      <c r="H527" s="6">
        <v>2544.8</v>
      </c>
      <c r="I527" s="14">
        <f t="shared" si="80"/>
        <v>28562.1744552117</v>
      </c>
      <c r="J527" s="15">
        <f t="shared" si="81"/>
        <v>3086.9917732704</v>
      </c>
      <c r="K527" s="15">
        <f t="shared" si="82"/>
        <v>25475.1826819413</v>
      </c>
      <c r="L527" s="15">
        <f t="shared" si="83"/>
        <v>0.108079718444095</v>
      </c>
      <c r="M527" s="15">
        <f t="shared" si="84"/>
        <v>0.121176433229611</v>
      </c>
      <c r="N527" s="16">
        <f t="shared" si="85"/>
        <v>35.9811320754717</v>
      </c>
      <c r="O527" s="16">
        <f t="shared" si="86"/>
        <v>1180774.35327593</v>
      </c>
      <c r="P527" s="16">
        <f t="shared" si="87"/>
        <v>1044482.48995959</v>
      </c>
      <c r="Q527" s="16">
        <f t="shared" si="88"/>
        <v>9.32926829268293</v>
      </c>
      <c r="R527" s="16">
        <f t="shared" si="89"/>
        <v>1.13048745634942</v>
      </c>
      <c r="S527" s="16">
        <v>12</v>
      </c>
    </row>
    <row r="528" spans="1:19">
      <c r="A528" s="5" t="s">
        <v>436</v>
      </c>
      <c r="B528" s="6">
        <v>216.3</v>
      </c>
      <c r="C528" s="6">
        <v>4.5</v>
      </c>
      <c r="D528" s="6">
        <v>648.9</v>
      </c>
      <c r="E528" s="6">
        <v>371.9</v>
      </c>
      <c r="F528" s="6">
        <v>41</v>
      </c>
      <c r="G528" s="5" t="s">
        <v>337</v>
      </c>
      <c r="H528" s="6">
        <v>2740.4</v>
      </c>
      <c r="I528" s="14">
        <f t="shared" si="80"/>
        <v>36745.3949992824</v>
      </c>
      <c r="J528" s="15">
        <f t="shared" si="81"/>
        <v>2994.25195813643</v>
      </c>
      <c r="K528" s="15">
        <f t="shared" si="82"/>
        <v>33751.1430411459</v>
      </c>
      <c r="L528" s="15">
        <f t="shared" si="83"/>
        <v>0.0814864545120526</v>
      </c>
      <c r="M528" s="15">
        <f t="shared" si="84"/>
        <v>0.0887155719285164</v>
      </c>
      <c r="N528" s="16">
        <f t="shared" si="85"/>
        <v>48.0666666666667</v>
      </c>
      <c r="O528" s="16">
        <f t="shared" si="86"/>
        <v>1113562.30323094</v>
      </c>
      <c r="P528" s="16">
        <f t="shared" si="87"/>
        <v>1383796.86468698</v>
      </c>
      <c r="Q528" s="16">
        <f t="shared" si="88"/>
        <v>9.07073170731707</v>
      </c>
      <c r="R528" s="16">
        <f t="shared" si="89"/>
        <v>0.804715151224762</v>
      </c>
      <c r="S528" s="16">
        <v>12</v>
      </c>
    </row>
    <row r="529" spans="1:19">
      <c r="A529" s="5" t="s">
        <v>437</v>
      </c>
      <c r="B529" s="6">
        <v>216.3</v>
      </c>
      <c r="C529" s="6">
        <v>4.5</v>
      </c>
      <c r="D529" s="6">
        <v>648.9</v>
      </c>
      <c r="E529" s="6">
        <v>371.9</v>
      </c>
      <c r="F529" s="6">
        <v>41</v>
      </c>
      <c r="G529" s="5" t="s">
        <v>337</v>
      </c>
      <c r="H529" s="6">
        <v>2751.2</v>
      </c>
      <c r="I529" s="14">
        <f t="shared" si="80"/>
        <v>36745.3949992824</v>
      </c>
      <c r="J529" s="15">
        <f t="shared" si="81"/>
        <v>2994.25195813643</v>
      </c>
      <c r="K529" s="15">
        <f t="shared" si="82"/>
        <v>33751.1430411459</v>
      </c>
      <c r="L529" s="15">
        <f t="shared" si="83"/>
        <v>0.0814864545120526</v>
      </c>
      <c r="M529" s="15">
        <f t="shared" si="84"/>
        <v>0.0887155719285164</v>
      </c>
      <c r="N529" s="16">
        <f t="shared" si="85"/>
        <v>48.0666666666667</v>
      </c>
      <c r="O529" s="16">
        <f t="shared" si="86"/>
        <v>1113562.30323094</v>
      </c>
      <c r="P529" s="16">
        <f t="shared" si="87"/>
        <v>1383796.86468698</v>
      </c>
      <c r="Q529" s="16">
        <f t="shared" si="88"/>
        <v>9.07073170731707</v>
      </c>
      <c r="R529" s="16">
        <f t="shared" si="89"/>
        <v>0.804715151224762</v>
      </c>
      <c r="S529" s="16">
        <v>12</v>
      </c>
    </row>
    <row r="530" spans="1:19">
      <c r="A530" s="5" t="s">
        <v>129</v>
      </c>
      <c r="B530" s="6">
        <v>273</v>
      </c>
      <c r="C530" s="6">
        <v>8</v>
      </c>
      <c r="D530" s="6">
        <v>1100</v>
      </c>
      <c r="E530" s="6">
        <v>306.7</v>
      </c>
      <c r="F530" s="6">
        <v>29.62</v>
      </c>
      <c r="G530" s="5" t="s">
        <v>20</v>
      </c>
      <c r="H530" s="6">
        <v>5576</v>
      </c>
      <c r="I530" s="14">
        <f t="shared" si="80"/>
        <v>58534.9397198484</v>
      </c>
      <c r="J530" s="15">
        <f t="shared" si="81"/>
        <v>6660.17642561036</v>
      </c>
      <c r="K530" s="15">
        <f t="shared" si="82"/>
        <v>51874.7632942381</v>
      </c>
      <c r="L530" s="15">
        <f t="shared" si="83"/>
        <v>0.113781212682312</v>
      </c>
      <c r="M530" s="15">
        <f t="shared" si="84"/>
        <v>0.128389528986056</v>
      </c>
      <c r="N530" s="16">
        <f t="shared" si="85"/>
        <v>34.125</v>
      </c>
      <c r="O530" s="16">
        <f t="shared" si="86"/>
        <v>2042676.1097347</v>
      </c>
      <c r="P530" s="16">
        <f t="shared" si="87"/>
        <v>1536530.48877533</v>
      </c>
      <c r="Q530" s="16">
        <f t="shared" si="88"/>
        <v>10.354490209318</v>
      </c>
      <c r="R530" s="16">
        <f t="shared" si="89"/>
        <v>1.32940812086507</v>
      </c>
      <c r="S530" s="16">
        <v>16.1172161172161</v>
      </c>
    </row>
    <row r="531" spans="1:19">
      <c r="A531" s="5" t="s">
        <v>130</v>
      </c>
      <c r="B531" s="6">
        <v>273</v>
      </c>
      <c r="C531" s="6">
        <v>8</v>
      </c>
      <c r="D531" s="6">
        <v>1100</v>
      </c>
      <c r="E531" s="6">
        <v>306.7</v>
      </c>
      <c r="F531" s="6">
        <v>40.28</v>
      </c>
      <c r="G531" s="5" t="s">
        <v>20</v>
      </c>
      <c r="H531" s="6">
        <v>5194</v>
      </c>
      <c r="I531" s="14">
        <f t="shared" si="80"/>
        <v>58534.9397198484</v>
      </c>
      <c r="J531" s="15">
        <f t="shared" si="81"/>
        <v>6660.17642561036</v>
      </c>
      <c r="K531" s="15">
        <f t="shared" si="82"/>
        <v>51874.7632942381</v>
      </c>
      <c r="L531" s="15">
        <f t="shared" si="83"/>
        <v>0.113781212682312</v>
      </c>
      <c r="M531" s="15">
        <f t="shared" si="84"/>
        <v>0.128389528986056</v>
      </c>
      <c r="N531" s="16">
        <f t="shared" si="85"/>
        <v>34.125</v>
      </c>
      <c r="O531" s="16">
        <f t="shared" si="86"/>
        <v>2042676.1097347</v>
      </c>
      <c r="P531" s="16">
        <f t="shared" si="87"/>
        <v>2089515.46549191</v>
      </c>
      <c r="Q531" s="16">
        <f t="shared" si="88"/>
        <v>7.6142005958292</v>
      </c>
      <c r="R531" s="16">
        <f t="shared" si="89"/>
        <v>0.977583628103856</v>
      </c>
      <c r="S531" s="16">
        <v>16.1172161172161</v>
      </c>
    </row>
    <row r="532" spans="1:19">
      <c r="A532" s="5" t="s">
        <v>131</v>
      </c>
      <c r="B532" s="6">
        <v>273</v>
      </c>
      <c r="C532" s="6">
        <v>8</v>
      </c>
      <c r="D532" s="6">
        <v>1100</v>
      </c>
      <c r="E532" s="6">
        <v>306.7</v>
      </c>
      <c r="F532" s="6">
        <v>40.28</v>
      </c>
      <c r="G532" s="5" t="s">
        <v>20</v>
      </c>
      <c r="H532" s="6">
        <v>5292</v>
      </c>
      <c r="I532" s="14">
        <f t="shared" si="80"/>
        <v>58534.9397198484</v>
      </c>
      <c r="J532" s="15">
        <f t="shared" si="81"/>
        <v>6660.17642561036</v>
      </c>
      <c r="K532" s="15">
        <f t="shared" si="82"/>
        <v>51874.7632942381</v>
      </c>
      <c r="L532" s="15">
        <f t="shared" si="83"/>
        <v>0.113781212682312</v>
      </c>
      <c r="M532" s="15">
        <f t="shared" si="84"/>
        <v>0.128389528986056</v>
      </c>
      <c r="N532" s="16">
        <f t="shared" si="85"/>
        <v>34.125</v>
      </c>
      <c r="O532" s="16">
        <f t="shared" si="86"/>
        <v>2042676.1097347</v>
      </c>
      <c r="P532" s="16">
        <f t="shared" si="87"/>
        <v>2089515.46549191</v>
      </c>
      <c r="Q532" s="16">
        <f t="shared" si="88"/>
        <v>7.6142005958292</v>
      </c>
      <c r="R532" s="16">
        <f t="shared" si="89"/>
        <v>0.977583628103856</v>
      </c>
      <c r="S532" s="16">
        <v>16.1172161172161</v>
      </c>
    </row>
    <row r="533" spans="1:19">
      <c r="A533" s="5" t="s">
        <v>438</v>
      </c>
      <c r="B533" s="6">
        <v>204</v>
      </c>
      <c r="C533" s="6">
        <v>2</v>
      </c>
      <c r="D533" s="6">
        <v>840</v>
      </c>
      <c r="E533" s="6">
        <v>235.2</v>
      </c>
      <c r="F533" s="6">
        <v>28.45</v>
      </c>
      <c r="G533" s="5" t="s">
        <v>20</v>
      </c>
      <c r="H533" s="6">
        <v>1294</v>
      </c>
      <c r="I533" s="14">
        <f t="shared" si="80"/>
        <v>32685.1299679482</v>
      </c>
      <c r="J533" s="15">
        <f t="shared" si="81"/>
        <v>1269.20343205028</v>
      </c>
      <c r="K533" s="15">
        <f t="shared" si="82"/>
        <v>31415.9265358979</v>
      </c>
      <c r="L533" s="15">
        <f t="shared" si="83"/>
        <v>0.0388312187620146</v>
      </c>
      <c r="M533" s="15">
        <f t="shared" si="84"/>
        <v>0.0404</v>
      </c>
      <c r="N533" s="16">
        <f t="shared" si="85"/>
        <v>102</v>
      </c>
      <c r="O533" s="16">
        <f t="shared" si="86"/>
        <v>298516.647218225</v>
      </c>
      <c r="P533" s="16">
        <f t="shared" si="87"/>
        <v>893783.109946296</v>
      </c>
      <c r="Q533" s="16">
        <f t="shared" si="88"/>
        <v>8.26713532513181</v>
      </c>
      <c r="R533" s="16">
        <f t="shared" si="89"/>
        <v>0.333992267135325</v>
      </c>
      <c r="S533" s="16">
        <v>16.4705882352941</v>
      </c>
    </row>
    <row r="534" spans="1:19">
      <c r="A534" s="5" t="s">
        <v>439</v>
      </c>
      <c r="B534" s="6">
        <v>204</v>
      </c>
      <c r="C534" s="6">
        <v>2</v>
      </c>
      <c r="D534" s="6">
        <v>840</v>
      </c>
      <c r="E534" s="6">
        <v>235.2</v>
      </c>
      <c r="F534" s="6">
        <v>39.53</v>
      </c>
      <c r="G534" s="5" t="s">
        <v>20</v>
      </c>
      <c r="H534" s="6">
        <v>1637</v>
      </c>
      <c r="I534" s="14">
        <f t="shared" si="80"/>
        <v>32685.1299679482</v>
      </c>
      <c r="J534" s="15">
        <f t="shared" si="81"/>
        <v>1269.20343205028</v>
      </c>
      <c r="K534" s="15">
        <f t="shared" si="82"/>
        <v>31415.9265358979</v>
      </c>
      <c r="L534" s="15">
        <f t="shared" si="83"/>
        <v>0.0388312187620146</v>
      </c>
      <c r="M534" s="15">
        <f t="shared" si="84"/>
        <v>0.0404</v>
      </c>
      <c r="N534" s="16">
        <f t="shared" si="85"/>
        <v>102</v>
      </c>
      <c r="O534" s="16">
        <f t="shared" si="86"/>
        <v>298516.647218225</v>
      </c>
      <c r="P534" s="16">
        <f t="shared" si="87"/>
        <v>1241871.57596405</v>
      </c>
      <c r="Q534" s="16">
        <f t="shared" si="88"/>
        <v>5.9499114596509</v>
      </c>
      <c r="R534" s="16">
        <f t="shared" si="89"/>
        <v>0.240376422969896</v>
      </c>
      <c r="S534" s="16">
        <v>16.4705882352941</v>
      </c>
    </row>
    <row r="535" spans="1:19">
      <c r="A535" s="5" t="s">
        <v>440</v>
      </c>
      <c r="B535" s="6">
        <v>204</v>
      </c>
      <c r="C535" s="6">
        <v>2</v>
      </c>
      <c r="D535" s="6">
        <v>840</v>
      </c>
      <c r="E535" s="6">
        <v>235.2</v>
      </c>
      <c r="F535" s="6">
        <v>40.28</v>
      </c>
      <c r="G535" s="5" t="s">
        <v>20</v>
      </c>
      <c r="H535" s="6">
        <v>1691</v>
      </c>
      <c r="I535" s="14">
        <f t="shared" si="80"/>
        <v>32685.1299679482</v>
      </c>
      <c r="J535" s="15">
        <f t="shared" si="81"/>
        <v>1269.20343205028</v>
      </c>
      <c r="K535" s="15">
        <f t="shared" si="82"/>
        <v>31415.9265358979</v>
      </c>
      <c r="L535" s="15">
        <f t="shared" si="83"/>
        <v>0.0388312187620146</v>
      </c>
      <c r="M535" s="15">
        <f t="shared" si="84"/>
        <v>0.0404</v>
      </c>
      <c r="N535" s="16">
        <f t="shared" si="85"/>
        <v>102</v>
      </c>
      <c r="O535" s="16">
        <f t="shared" si="86"/>
        <v>298516.647218225</v>
      </c>
      <c r="P535" s="16">
        <f t="shared" si="87"/>
        <v>1265433.52086597</v>
      </c>
      <c r="Q535" s="16">
        <f t="shared" si="88"/>
        <v>5.83912611717974</v>
      </c>
      <c r="R535" s="16">
        <f t="shared" si="89"/>
        <v>0.235900695134062</v>
      </c>
      <c r="S535" s="16">
        <v>16.4705882352941</v>
      </c>
    </row>
    <row r="536" spans="1:19">
      <c r="A536" s="5" t="s">
        <v>441</v>
      </c>
      <c r="B536" s="6">
        <v>96</v>
      </c>
      <c r="C536" s="6">
        <v>5</v>
      </c>
      <c r="D536" s="6">
        <v>400</v>
      </c>
      <c r="E536" s="6">
        <v>410.6</v>
      </c>
      <c r="F536" s="6">
        <v>39.53</v>
      </c>
      <c r="G536" s="5" t="s">
        <v>20</v>
      </c>
      <c r="H536" s="6">
        <v>1176</v>
      </c>
      <c r="I536" s="14">
        <f t="shared" si="80"/>
        <v>7238.22947387088</v>
      </c>
      <c r="J536" s="15">
        <f t="shared" si="81"/>
        <v>1429.42465738336</v>
      </c>
      <c r="K536" s="15">
        <f t="shared" si="82"/>
        <v>5808.80481648753</v>
      </c>
      <c r="L536" s="15">
        <f t="shared" si="83"/>
        <v>0.197482638888889</v>
      </c>
      <c r="M536" s="15">
        <f t="shared" si="84"/>
        <v>0.246078961600865</v>
      </c>
      <c r="N536" s="16">
        <f t="shared" si="85"/>
        <v>19.2</v>
      </c>
      <c r="O536" s="16">
        <f t="shared" si="86"/>
        <v>586921.764321606</v>
      </c>
      <c r="P536" s="16">
        <f t="shared" si="87"/>
        <v>229622.054395752</v>
      </c>
      <c r="Q536" s="16">
        <f t="shared" si="88"/>
        <v>10.3870478117885</v>
      </c>
      <c r="R536" s="16">
        <f t="shared" si="89"/>
        <v>2.55603393962346</v>
      </c>
      <c r="S536" s="16">
        <v>16.6666666666667</v>
      </c>
    </row>
    <row r="537" spans="1:19">
      <c r="A537" s="5" t="s">
        <v>442</v>
      </c>
      <c r="B537" s="6">
        <v>96</v>
      </c>
      <c r="C537" s="6">
        <v>5</v>
      </c>
      <c r="D537" s="6">
        <v>400</v>
      </c>
      <c r="E537" s="6">
        <v>410.6</v>
      </c>
      <c r="F537" s="6">
        <v>39.53</v>
      </c>
      <c r="G537" s="5" t="s">
        <v>20</v>
      </c>
      <c r="H537" s="6">
        <v>1171</v>
      </c>
      <c r="I537" s="14">
        <f t="shared" si="80"/>
        <v>7238.22947387088</v>
      </c>
      <c r="J537" s="15">
        <f t="shared" si="81"/>
        <v>1429.42465738336</v>
      </c>
      <c r="K537" s="15">
        <f t="shared" si="82"/>
        <v>5808.80481648753</v>
      </c>
      <c r="L537" s="15">
        <f t="shared" si="83"/>
        <v>0.197482638888889</v>
      </c>
      <c r="M537" s="15">
        <f t="shared" si="84"/>
        <v>0.246078961600865</v>
      </c>
      <c r="N537" s="16">
        <f t="shared" si="85"/>
        <v>19.2</v>
      </c>
      <c r="O537" s="16">
        <f t="shared" si="86"/>
        <v>586921.764321606</v>
      </c>
      <c r="P537" s="16">
        <f t="shared" si="87"/>
        <v>229622.054395752</v>
      </c>
      <c r="Q537" s="16">
        <f t="shared" si="88"/>
        <v>10.3870478117885</v>
      </c>
      <c r="R537" s="16">
        <f t="shared" si="89"/>
        <v>2.55603393962346</v>
      </c>
      <c r="S537" s="16">
        <v>16.6666666666667</v>
      </c>
    </row>
    <row r="538" spans="1:19">
      <c r="A538" s="5" t="s">
        <v>443</v>
      </c>
      <c r="B538" s="6">
        <v>96</v>
      </c>
      <c r="C538" s="6">
        <v>5</v>
      </c>
      <c r="D538" s="6">
        <v>400</v>
      </c>
      <c r="E538" s="6">
        <v>410.6</v>
      </c>
      <c r="F538" s="6">
        <v>39.53</v>
      </c>
      <c r="G538" s="5" t="s">
        <v>20</v>
      </c>
      <c r="H538" s="6">
        <v>1073</v>
      </c>
      <c r="I538" s="14">
        <f t="shared" si="80"/>
        <v>7238.22947387088</v>
      </c>
      <c r="J538" s="15">
        <f t="shared" si="81"/>
        <v>1429.42465738336</v>
      </c>
      <c r="K538" s="15">
        <f t="shared" si="82"/>
        <v>5808.80481648753</v>
      </c>
      <c r="L538" s="15">
        <f t="shared" si="83"/>
        <v>0.197482638888889</v>
      </c>
      <c r="M538" s="15">
        <f t="shared" si="84"/>
        <v>0.246078961600865</v>
      </c>
      <c r="N538" s="16">
        <f t="shared" si="85"/>
        <v>19.2</v>
      </c>
      <c r="O538" s="16">
        <f t="shared" si="86"/>
        <v>586921.764321606</v>
      </c>
      <c r="P538" s="16">
        <f t="shared" si="87"/>
        <v>229622.054395752</v>
      </c>
      <c r="Q538" s="16">
        <f t="shared" si="88"/>
        <v>10.3870478117885</v>
      </c>
      <c r="R538" s="16">
        <f t="shared" si="89"/>
        <v>2.55603393962346</v>
      </c>
      <c r="S538" s="16">
        <v>16.6666666666667</v>
      </c>
    </row>
    <row r="539" spans="1:19">
      <c r="A539" s="5" t="s">
        <v>444</v>
      </c>
      <c r="B539" s="6">
        <v>96</v>
      </c>
      <c r="C539" s="6">
        <v>5</v>
      </c>
      <c r="D539" s="6">
        <v>405</v>
      </c>
      <c r="E539" s="6">
        <v>410.6</v>
      </c>
      <c r="F539" s="6">
        <v>39.53</v>
      </c>
      <c r="G539" s="5" t="s">
        <v>20</v>
      </c>
      <c r="H539" s="6">
        <v>1122</v>
      </c>
      <c r="I539" s="14">
        <f t="shared" si="80"/>
        <v>7238.22947387088</v>
      </c>
      <c r="J539" s="15">
        <f t="shared" si="81"/>
        <v>1429.42465738336</v>
      </c>
      <c r="K539" s="15">
        <f t="shared" si="82"/>
        <v>5808.80481648753</v>
      </c>
      <c r="L539" s="15">
        <f t="shared" si="83"/>
        <v>0.197482638888889</v>
      </c>
      <c r="M539" s="15">
        <f t="shared" si="84"/>
        <v>0.246078961600865</v>
      </c>
      <c r="N539" s="16">
        <f t="shared" si="85"/>
        <v>19.2</v>
      </c>
      <c r="O539" s="16">
        <f t="shared" si="86"/>
        <v>586921.764321606</v>
      </c>
      <c r="P539" s="16">
        <f t="shared" si="87"/>
        <v>229622.054395752</v>
      </c>
      <c r="Q539" s="16">
        <f t="shared" si="88"/>
        <v>10.3870478117885</v>
      </c>
      <c r="R539" s="16">
        <f t="shared" si="89"/>
        <v>2.55603393962346</v>
      </c>
      <c r="S539" s="16">
        <v>16.875</v>
      </c>
    </row>
    <row r="540" spans="1:19">
      <c r="A540" s="5" t="s">
        <v>445</v>
      </c>
      <c r="B540" s="6">
        <v>121</v>
      </c>
      <c r="C540" s="6">
        <v>12</v>
      </c>
      <c r="D540" s="6">
        <v>500</v>
      </c>
      <c r="E540" s="6">
        <v>294</v>
      </c>
      <c r="F540" s="6">
        <v>28.45</v>
      </c>
      <c r="G540" s="5" t="s">
        <v>20</v>
      </c>
      <c r="H540" s="6">
        <v>2421</v>
      </c>
      <c r="I540" s="14">
        <f t="shared" si="80"/>
        <v>11499.014510302</v>
      </c>
      <c r="J540" s="15">
        <f t="shared" si="81"/>
        <v>4109.20319089545</v>
      </c>
      <c r="K540" s="15">
        <f t="shared" si="82"/>
        <v>7389.81131940659</v>
      </c>
      <c r="L540" s="15">
        <f t="shared" si="83"/>
        <v>0.357352639847005</v>
      </c>
      <c r="M540" s="15">
        <f t="shared" si="84"/>
        <v>0.556063343607185</v>
      </c>
      <c r="N540" s="16">
        <f t="shared" si="85"/>
        <v>10.0833333333333</v>
      </c>
      <c r="O540" s="16">
        <f t="shared" si="86"/>
        <v>1208105.73812326</v>
      </c>
      <c r="P540" s="16">
        <f t="shared" si="87"/>
        <v>210240.132037117</v>
      </c>
      <c r="Q540" s="16">
        <f t="shared" si="88"/>
        <v>10.3339191564148</v>
      </c>
      <c r="R540" s="16">
        <f t="shared" si="89"/>
        <v>5.74631363868233</v>
      </c>
      <c r="S540" s="16">
        <v>16.5289256198347</v>
      </c>
    </row>
    <row r="541" spans="1:19">
      <c r="A541" s="5" t="s">
        <v>446</v>
      </c>
      <c r="B541" s="6">
        <v>121</v>
      </c>
      <c r="C541" s="6">
        <v>12</v>
      </c>
      <c r="D541" s="6">
        <v>500</v>
      </c>
      <c r="E541" s="6">
        <v>294</v>
      </c>
      <c r="F541" s="6">
        <v>40.28</v>
      </c>
      <c r="G541" s="5" t="s">
        <v>20</v>
      </c>
      <c r="H541" s="6">
        <v>2587</v>
      </c>
      <c r="I541" s="14">
        <f t="shared" si="80"/>
        <v>11499.014510302</v>
      </c>
      <c r="J541" s="15">
        <f t="shared" si="81"/>
        <v>4109.20319089545</v>
      </c>
      <c r="K541" s="15">
        <f t="shared" si="82"/>
        <v>7389.81131940659</v>
      </c>
      <c r="L541" s="15">
        <f t="shared" si="83"/>
        <v>0.357352639847005</v>
      </c>
      <c r="M541" s="15">
        <f t="shared" si="84"/>
        <v>0.556063343607185</v>
      </c>
      <c r="N541" s="16">
        <f t="shared" si="85"/>
        <v>10.0833333333333</v>
      </c>
      <c r="O541" s="16">
        <f t="shared" si="86"/>
        <v>1208105.73812326</v>
      </c>
      <c r="P541" s="16">
        <f t="shared" si="87"/>
        <v>297661.599945697</v>
      </c>
      <c r="Q541" s="16">
        <f t="shared" si="88"/>
        <v>7.29890764647468</v>
      </c>
      <c r="R541" s="16">
        <f t="shared" si="89"/>
        <v>4.05865499057876</v>
      </c>
      <c r="S541" s="16">
        <v>16.5289256198347</v>
      </c>
    </row>
    <row r="542" spans="1:19">
      <c r="A542" s="5" t="s">
        <v>447</v>
      </c>
      <c r="B542" s="6">
        <v>168.3</v>
      </c>
      <c r="C542" s="6">
        <v>4.47</v>
      </c>
      <c r="D542" s="6">
        <v>813</v>
      </c>
      <c r="E542" s="6">
        <v>302</v>
      </c>
      <c r="F542" s="6">
        <v>23.4</v>
      </c>
      <c r="G542" s="5" t="s">
        <v>20</v>
      </c>
      <c r="H542" s="6">
        <v>1744</v>
      </c>
      <c r="I542" s="14">
        <f t="shared" si="80"/>
        <v>22246.3165844347</v>
      </c>
      <c r="J542" s="15">
        <f t="shared" si="81"/>
        <v>2300.65144623614</v>
      </c>
      <c r="K542" s="15">
        <f t="shared" si="82"/>
        <v>19945.6651381986</v>
      </c>
      <c r="L542" s="15">
        <f t="shared" si="83"/>
        <v>0.103417185380067</v>
      </c>
      <c r="M542" s="15">
        <f t="shared" si="84"/>
        <v>0.115345937590724</v>
      </c>
      <c r="N542" s="16">
        <f t="shared" si="85"/>
        <v>37.6510067114094</v>
      </c>
      <c r="O542" s="16">
        <f t="shared" si="86"/>
        <v>694796.736763315</v>
      </c>
      <c r="P542" s="16">
        <f t="shared" si="87"/>
        <v>466728.564233847</v>
      </c>
      <c r="Q542" s="16">
        <f t="shared" si="88"/>
        <v>12.9059829059829</v>
      </c>
      <c r="R542" s="16">
        <f t="shared" si="89"/>
        <v>1.48865269882046</v>
      </c>
      <c r="S542" s="16">
        <v>19.3226381461676</v>
      </c>
    </row>
    <row r="543" spans="1:19">
      <c r="A543" s="5" t="s">
        <v>129</v>
      </c>
      <c r="B543" s="6">
        <v>166</v>
      </c>
      <c r="C543" s="6">
        <v>5</v>
      </c>
      <c r="D543" s="6">
        <v>710</v>
      </c>
      <c r="E543" s="6">
        <v>277.34</v>
      </c>
      <c r="F543" s="6">
        <v>39.06</v>
      </c>
      <c r="G543" s="5" t="s">
        <v>20</v>
      </c>
      <c r="H543" s="6">
        <v>1656.2</v>
      </c>
      <c r="I543" s="14">
        <f t="shared" si="80"/>
        <v>21642.4317905801</v>
      </c>
      <c r="J543" s="15">
        <f t="shared" si="81"/>
        <v>2528.98208613978</v>
      </c>
      <c r="K543" s="15">
        <f t="shared" si="82"/>
        <v>19113.4497044403</v>
      </c>
      <c r="L543" s="15">
        <f t="shared" si="83"/>
        <v>0.116852953984613</v>
      </c>
      <c r="M543" s="15">
        <f t="shared" si="84"/>
        <v>0.132314266929652</v>
      </c>
      <c r="N543" s="16">
        <f t="shared" si="85"/>
        <v>33.2</v>
      </c>
      <c r="O543" s="16">
        <f t="shared" si="86"/>
        <v>701387.891770007</v>
      </c>
      <c r="P543" s="16">
        <f t="shared" si="87"/>
        <v>746571.345455438</v>
      </c>
      <c r="Q543" s="16">
        <f t="shared" si="88"/>
        <v>7.10035842293907</v>
      </c>
      <c r="R543" s="16">
        <f t="shared" si="89"/>
        <v>0.939478719668959</v>
      </c>
      <c r="S543" s="16">
        <v>17.1084337349398</v>
      </c>
    </row>
    <row r="544" spans="1:19">
      <c r="A544" s="5" t="s">
        <v>130</v>
      </c>
      <c r="B544" s="6">
        <v>166</v>
      </c>
      <c r="C544" s="6">
        <v>5</v>
      </c>
      <c r="D544" s="6">
        <v>710</v>
      </c>
      <c r="E544" s="6">
        <v>277.34</v>
      </c>
      <c r="F544" s="6">
        <v>42.24</v>
      </c>
      <c r="G544" s="5" t="s">
        <v>20</v>
      </c>
      <c r="H544" s="6">
        <v>1906.1</v>
      </c>
      <c r="I544" s="14">
        <f t="shared" si="80"/>
        <v>21642.4317905801</v>
      </c>
      <c r="J544" s="15">
        <f t="shared" si="81"/>
        <v>2528.98208613978</v>
      </c>
      <c r="K544" s="15">
        <f t="shared" si="82"/>
        <v>19113.4497044403</v>
      </c>
      <c r="L544" s="15">
        <f t="shared" si="83"/>
        <v>0.116852953984613</v>
      </c>
      <c r="M544" s="15">
        <f t="shared" si="84"/>
        <v>0.132314266929652</v>
      </c>
      <c r="N544" s="16">
        <f t="shared" si="85"/>
        <v>33.2</v>
      </c>
      <c r="O544" s="16">
        <f t="shared" si="86"/>
        <v>701387.891770007</v>
      </c>
      <c r="P544" s="16">
        <f t="shared" si="87"/>
        <v>807352.115515558</v>
      </c>
      <c r="Q544" s="16">
        <f t="shared" si="88"/>
        <v>6.56581439393939</v>
      </c>
      <c r="R544" s="16">
        <f t="shared" si="89"/>
        <v>0.868750918330245</v>
      </c>
      <c r="S544" s="16">
        <v>17.1084337349398</v>
      </c>
    </row>
    <row r="545" spans="1:19">
      <c r="A545" s="5" t="s">
        <v>448</v>
      </c>
      <c r="B545" s="6">
        <v>200</v>
      </c>
      <c r="C545" s="6">
        <v>2</v>
      </c>
      <c r="D545" s="6">
        <v>930</v>
      </c>
      <c r="E545" s="6">
        <v>237.2</v>
      </c>
      <c r="F545" s="6">
        <v>24.24</v>
      </c>
      <c r="G545" s="5" t="s">
        <v>20</v>
      </c>
      <c r="H545" s="6">
        <v>1411</v>
      </c>
      <c r="I545" s="14">
        <f t="shared" si="80"/>
        <v>31415.9265358979</v>
      </c>
      <c r="J545" s="15">
        <f t="shared" si="81"/>
        <v>1244.07069082156</v>
      </c>
      <c r="K545" s="15">
        <f t="shared" si="82"/>
        <v>30171.8558450764</v>
      </c>
      <c r="L545" s="15">
        <f t="shared" si="83"/>
        <v>0.0396</v>
      </c>
      <c r="M545" s="15">
        <f t="shared" si="84"/>
        <v>0.0412328196584756</v>
      </c>
      <c r="N545" s="16">
        <f t="shared" si="85"/>
        <v>100</v>
      </c>
      <c r="O545" s="16">
        <f t="shared" si="86"/>
        <v>295093.567862874</v>
      </c>
      <c r="P545" s="16">
        <f t="shared" si="87"/>
        <v>731365.785684651</v>
      </c>
      <c r="Q545" s="16">
        <f t="shared" si="88"/>
        <v>9.78547854785478</v>
      </c>
      <c r="R545" s="16">
        <f t="shared" si="89"/>
        <v>0.403482872235578</v>
      </c>
      <c r="S545" s="16">
        <v>18.6</v>
      </c>
    </row>
    <row r="546" spans="1:19">
      <c r="A546" s="5" t="s">
        <v>449</v>
      </c>
      <c r="B546" s="6">
        <v>210</v>
      </c>
      <c r="C546" s="6">
        <v>3</v>
      </c>
      <c r="D546" s="6">
        <v>1040</v>
      </c>
      <c r="E546" s="6">
        <v>233.2</v>
      </c>
      <c r="F546" s="6">
        <v>27.07</v>
      </c>
      <c r="G546" s="5" t="s">
        <v>20</v>
      </c>
      <c r="H546" s="6">
        <v>1705</v>
      </c>
      <c r="I546" s="14">
        <f t="shared" si="80"/>
        <v>34636.0590058275</v>
      </c>
      <c r="J546" s="15">
        <f t="shared" si="81"/>
        <v>1950.92903787926</v>
      </c>
      <c r="K546" s="15">
        <f t="shared" si="82"/>
        <v>32685.1299679482</v>
      </c>
      <c r="L546" s="15">
        <f t="shared" si="83"/>
        <v>0.0563265306122449</v>
      </c>
      <c r="M546" s="15">
        <f t="shared" si="84"/>
        <v>0.0596885813148789</v>
      </c>
      <c r="N546" s="16">
        <f t="shared" si="85"/>
        <v>70</v>
      </c>
      <c r="O546" s="16">
        <f t="shared" si="86"/>
        <v>454956.651633444</v>
      </c>
      <c r="P546" s="16">
        <f t="shared" si="87"/>
        <v>884786.468232358</v>
      </c>
      <c r="Q546" s="16">
        <f t="shared" si="88"/>
        <v>8.6147026228297</v>
      </c>
      <c r="R546" s="16">
        <f t="shared" si="89"/>
        <v>0.514199378006271</v>
      </c>
      <c r="S546" s="16">
        <v>19.8095238095238</v>
      </c>
    </row>
    <row r="547" spans="1:19">
      <c r="A547" s="5" t="s">
        <v>450</v>
      </c>
      <c r="B547" s="6">
        <v>180</v>
      </c>
      <c r="C547" s="6">
        <v>3</v>
      </c>
      <c r="D547" s="6">
        <v>860</v>
      </c>
      <c r="E547" s="6">
        <v>233.2</v>
      </c>
      <c r="F547" s="6">
        <v>24.24</v>
      </c>
      <c r="G547" s="5" t="s">
        <v>20</v>
      </c>
      <c r="H547" s="6">
        <v>1352</v>
      </c>
      <c r="I547" s="14">
        <f t="shared" si="80"/>
        <v>25446.9004940773</v>
      </c>
      <c r="J547" s="15">
        <f t="shared" si="81"/>
        <v>1668.18569905618</v>
      </c>
      <c r="K547" s="15">
        <f t="shared" si="82"/>
        <v>23778.7147950211</v>
      </c>
      <c r="L547" s="15">
        <f t="shared" si="83"/>
        <v>0.0655555555555556</v>
      </c>
      <c r="M547" s="15">
        <f t="shared" si="84"/>
        <v>0.0701545778834721</v>
      </c>
      <c r="N547" s="16">
        <f t="shared" si="85"/>
        <v>60</v>
      </c>
      <c r="O547" s="16">
        <f t="shared" si="86"/>
        <v>389020.905019901</v>
      </c>
      <c r="P547" s="16">
        <f t="shared" si="87"/>
        <v>576396.046631312</v>
      </c>
      <c r="Q547" s="16">
        <f t="shared" si="88"/>
        <v>9.62046204620462</v>
      </c>
      <c r="R547" s="16">
        <f t="shared" si="89"/>
        <v>0.674919453895449</v>
      </c>
      <c r="S547" s="16">
        <v>19.1111111111111</v>
      </c>
    </row>
    <row r="548" spans="1:19">
      <c r="A548" s="5" t="s">
        <v>451</v>
      </c>
      <c r="B548" s="6">
        <v>92</v>
      </c>
      <c r="C548" s="6">
        <v>3</v>
      </c>
      <c r="D548" s="6">
        <v>460</v>
      </c>
      <c r="E548" s="6">
        <v>260.7</v>
      </c>
      <c r="F548" s="6">
        <v>20.71</v>
      </c>
      <c r="G548" s="5" t="s">
        <v>20</v>
      </c>
      <c r="H548" s="6">
        <v>501</v>
      </c>
      <c r="I548" s="14">
        <f t="shared" si="80"/>
        <v>6647.610054996</v>
      </c>
      <c r="J548" s="15">
        <f t="shared" si="81"/>
        <v>838.805238508475</v>
      </c>
      <c r="K548" s="15">
        <f t="shared" si="82"/>
        <v>5808.80481648753</v>
      </c>
      <c r="L548" s="15">
        <f t="shared" si="83"/>
        <v>0.126181474480151</v>
      </c>
      <c r="M548" s="15">
        <f t="shared" si="84"/>
        <v>0.144402379664684</v>
      </c>
      <c r="N548" s="16">
        <f t="shared" si="85"/>
        <v>30.6666666666667</v>
      </c>
      <c r="O548" s="16">
        <f t="shared" si="86"/>
        <v>218676.525679159</v>
      </c>
      <c r="P548" s="16">
        <f t="shared" si="87"/>
        <v>120300.347749457</v>
      </c>
      <c r="Q548" s="16">
        <f t="shared" si="88"/>
        <v>12.5881216803477</v>
      </c>
      <c r="R548" s="16">
        <f t="shared" si="89"/>
        <v>1.8177547261508</v>
      </c>
      <c r="S548" s="16">
        <v>20</v>
      </c>
    </row>
    <row r="549" spans="1:19">
      <c r="A549" s="5" t="s">
        <v>452</v>
      </c>
      <c r="B549" s="6">
        <v>108</v>
      </c>
      <c r="C549" s="6">
        <v>4.5</v>
      </c>
      <c r="D549" s="6">
        <v>445</v>
      </c>
      <c r="E549" s="6">
        <v>409.64</v>
      </c>
      <c r="F549" s="6">
        <v>28.6</v>
      </c>
      <c r="G549" s="5" t="s">
        <v>20</v>
      </c>
      <c r="H549" s="6">
        <v>970.2</v>
      </c>
      <c r="I549" s="14">
        <f t="shared" si="80"/>
        <v>9160.88417786784</v>
      </c>
      <c r="J549" s="15">
        <f t="shared" si="81"/>
        <v>1463.19677840945</v>
      </c>
      <c r="K549" s="15">
        <f t="shared" si="82"/>
        <v>7697.68739945839</v>
      </c>
      <c r="L549" s="15">
        <f t="shared" si="83"/>
        <v>0.159722222222222</v>
      </c>
      <c r="M549" s="15">
        <f t="shared" si="84"/>
        <v>0.190082644628099</v>
      </c>
      <c r="N549" s="16">
        <f t="shared" si="85"/>
        <v>24</v>
      </c>
      <c r="O549" s="16">
        <f t="shared" si="86"/>
        <v>599383.928307645</v>
      </c>
      <c r="P549" s="16">
        <f t="shared" si="87"/>
        <v>220153.85962451</v>
      </c>
      <c r="Q549" s="16">
        <f t="shared" si="88"/>
        <v>14.3230769230769</v>
      </c>
      <c r="R549" s="16">
        <f t="shared" si="89"/>
        <v>2.72256834075016</v>
      </c>
      <c r="S549" s="16">
        <v>16.4814814814815</v>
      </c>
    </row>
    <row r="550" spans="1:19">
      <c r="A550" s="5" t="s">
        <v>453</v>
      </c>
      <c r="B550" s="6">
        <v>219</v>
      </c>
      <c r="C550" s="6">
        <v>7</v>
      </c>
      <c r="D550" s="6">
        <v>990</v>
      </c>
      <c r="E550" s="6">
        <v>273</v>
      </c>
      <c r="F550" s="6">
        <v>38.2</v>
      </c>
      <c r="G550" s="5" t="s">
        <v>20</v>
      </c>
      <c r="H550" s="6">
        <v>3278</v>
      </c>
      <c r="I550" s="14">
        <f t="shared" si="80"/>
        <v>37668.481314705</v>
      </c>
      <c r="J550" s="15">
        <f t="shared" si="81"/>
        <v>4662.12349792725</v>
      </c>
      <c r="K550" s="15">
        <f t="shared" si="82"/>
        <v>33006.3578167778</v>
      </c>
      <c r="L550" s="15">
        <f t="shared" si="83"/>
        <v>0.123767227539042</v>
      </c>
      <c r="M550" s="15">
        <f t="shared" si="84"/>
        <v>0.141249256395003</v>
      </c>
      <c r="N550" s="16">
        <f t="shared" si="85"/>
        <v>31.2857142857143</v>
      </c>
      <c r="O550" s="16">
        <f t="shared" si="86"/>
        <v>1272759.71493414</v>
      </c>
      <c r="P550" s="16">
        <f t="shared" si="87"/>
        <v>1260842.86860091</v>
      </c>
      <c r="Q550" s="16">
        <f t="shared" si="88"/>
        <v>7.14659685863874</v>
      </c>
      <c r="R550" s="16">
        <f t="shared" si="89"/>
        <v>1.00945149203759</v>
      </c>
      <c r="S550" s="16">
        <v>18.0821917808219</v>
      </c>
    </row>
    <row r="551" spans="1:19">
      <c r="A551" s="5" t="s">
        <v>454</v>
      </c>
      <c r="B551" s="6">
        <v>219</v>
      </c>
      <c r="C551" s="6">
        <v>7</v>
      </c>
      <c r="D551" s="6">
        <v>990</v>
      </c>
      <c r="E551" s="6">
        <v>273</v>
      </c>
      <c r="F551" s="6">
        <v>38.2</v>
      </c>
      <c r="G551" s="5" t="s">
        <v>20</v>
      </c>
      <c r="H551" s="6">
        <v>3278</v>
      </c>
      <c r="I551" s="14">
        <f t="shared" si="80"/>
        <v>37668.481314705</v>
      </c>
      <c r="J551" s="15">
        <f t="shared" si="81"/>
        <v>4662.12349792725</v>
      </c>
      <c r="K551" s="15">
        <f t="shared" si="82"/>
        <v>33006.3578167778</v>
      </c>
      <c r="L551" s="15">
        <f t="shared" si="83"/>
        <v>0.123767227539042</v>
      </c>
      <c r="M551" s="15">
        <f t="shared" si="84"/>
        <v>0.141249256395003</v>
      </c>
      <c r="N551" s="16">
        <f t="shared" si="85"/>
        <v>31.2857142857143</v>
      </c>
      <c r="O551" s="16">
        <f t="shared" si="86"/>
        <v>1272759.71493414</v>
      </c>
      <c r="P551" s="16">
        <f t="shared" si="87"/>
        <v>1260842.86860091</v>
      </c>
      <c r="Q551" s="16">
        <f t="shared" si="88"/>
        <v>7.14659685863874</v>
      </c>
      <c r="R551" s="16">
        <f t="shared" si="89"/>
        <v>1.00945149203759</v>
      </c>
      <c r="S551" s="16">
        <v>18.0821917808219</v>
      </c>
    </row>
    <row r="552" spans="1:19">
      <c r="A552" s="5" t="s">
        <v>455</v>
      </c>
      <c r="B552" s="6">
        <v>219</v>
      </c>
      <c r="C552" s="6">
        <v>7</v>
      </c>
      <c r="D552" s="6">
        <v>990</v>
      </c>
      <c r="E552" s="6">
        <v>273</v>
      </c>
      <c r="F552" s="6">
        <v>38.2</v>
      </c>
      <c r="G552" s="5" t="s">
        <v>20</v>
      </c>
      <c r="H552" s="6">
        <v>3278</v>
      </c>
      <c r="I552" s="14">
        <f t="shared" si="80"/>
        <v>37668.481314705</v>
      </c>
      <c r="J552" s="15">
        <f t="shared" si="81"/>
        <v>4662.12349792725</v>
      </c>
      <c r="K552" s="15">
        <f t="shared" si="82"/>
        <v>33006.3578167778</v>
      </c>
      <c r="L552" s="15">
        <f t="shared" si="83"/>
        <v>0.123767227539042</v>
      </c>
      <c r="M552" s="15">
        <f t="shared" si="84"/>
        <v>0.141249256395003</v>
      </c>
      <c r="N552" s="16">
        <f t="shared" si="85"/>
        <v>31.2857142857143</v>
      </c>
      <c r="O552" s="16">
        <f t="shared" si="86"/>
        <v>1272759.71493414</v>
      </c>
      <c r="P552" s="16">
        <f t="shared" si="87"/>
        <v>1260842.86860091</v>
      </c>
      <c r="Q552" s="16">
        <f t="shared" si="88"/>
        <v>7.14659685863874</v>
      </c>
      <c r="R552" s="16">
        <f t="shared" si="89"/>
        <v>1.00945149203759</v>
      </c>
      <c r="S552" s="16">
        <v>18.0821917808219</v>
      </c>
    </row>
    <row r="553" spans="1:19">
      <c r="A553" s="5">
        <v>4</v>
      </c>
      <c r="B553" s="6">
        <v>218.25</v>
      </c>
      <c r="C553" s="6">
        <v>6.5</v>
      </c>
      <c r="D553" s="6">
        <v>943</v>
      </c>
      <c r="E553" s="6">
        <v>302.04482</v>
      </c>
      <c r="F553" s="6">
        <v>37.069137</v>
      </c>
      <c r="G553" s="5" t="s">
        <v>217</v>
      </c>
      <c r="H553" s="6">
        <v>2755.66865804753</v>
      </c>
      <c r="I553" s="14">
        <f t="shared" si="80"/>
        <v>37410.9198044959</v>
      </c>
      <c r="J553" s="15">
        <f t="shared" si="81"/>
        <v>4324.00958858465</v>
      </c>
      <c r="K553" s="15">
        <f t="shared" si="82"/>
        <v>33086.9102159112</v>
      </c>
      <c r="L553" s="15">
        <f t="shared" si="83"/>
        <v>0.115581482924807</v>
      </c>
      <c r="M553" s="15">
        <f t="shared" si="84"/>
        <v>0.130686412250887</v>
      </c>
      <c r="N553" s="16">
        <f t="shared" si="85"/>
        <v>33.5769230769231</v>
      </c>
      <c r="O553" s="16">
        <f t="shared" si="86"/>
        <v>1306044.69786233</v>
      </c>
      <c r="P553" s="16">
        <f t="shared" si="87"/>
        <v>1226503.20770031</v>
      </c>
      <c r="Q553" s="16">
        <f t="shared" si="88"/>
        <v>8.14814814814815</v>
      </c>
      <c r="R553" s="16">
        <f t="shared" si="89"/>
        <v>1.06485224797019</v>
      </c>
      <c r="S553" s="16">
        <v>17.282932416953</v>
      </c>
    </row>
    <row r="554" spans="1:19">
      <c r="A554" s="5">
        <v>5</v>
      </c>
      <c r="B554" s="6">
        <v>218.5</v>
      </c>
      <c r="C554" s="6">
        <v>6.375</v>
      </c>
      <c r="D554" s="6">
        <v>941.5</v>
      </c>
      <c r="E554" s="6">
        <v>302.04482</v>
      </c>
      <c r="F554" s="6">
        <v>37.069137</v>
      </c>
      <c r="G554" s="5" t="s">
        <v>217</v>
      </c>
      <c r="H554" s="6">
        <v>2745.86200801889</v>
      </c>
      <c r="I554" s="14">
        <f t="shared" si="80"/>
        <v>37496.6754664618</v>
      </c>
      <c r="J554" s="15">
        <f t="shared" si="81"/>
        <v>4248.36592797244</v>
      </c>
      <c r="K554" s="15">
        <f t="shared" si="82"/>
        <v>33248.3095384894</v>
      </c>
      <c r="L554" s="15">
        <f t="shared" si="83"/>
        <v>0.11329980258576</v>
      </c>
      <c r="M554" s="15">
        <f t="shared" si="84"/>
        <v>0.127776900147491</v>
      </c>
      <c r="N554" s="16">
        <f t="shared" si="85"/>
        <v>34.2745098039216</v>
      </c>
      <c r="O554" s="16">
        <f t="shared" si="86"/>
        <v>1283196.92200857</v>
      </c>
      <c r="P554" s="16">
        <f t="shared" si="87"/>
        <v>1232486.14130067</v>
      </c>
      <c r="Q554" s="16">
        <f t="shared" si="88"/>
        <v>8.14814814814815</v>
      </c>
      <c r="R554" s="16">
        <f t="shared" si="89"/>
        <v>1.04114511231289</v>
      </c>
      <c r="S554" s="16">
        <v>17.2356979405034</v>
      </c>
    </row>
    <row r="555" spans="1:19">
      <c r="A555" s="5">
        <v>6</v>
      </c>
      <c r="B555" s="6">
        <v>219.25</v>
      </c>
      <c r="C555" s="6">
        <v>6.05</v>
      </c>
      <c r="D555" s="6">
        <v>941.5</v>
      </c>
      <c r="E555" s="6">
        <v>302.04482</v>
      </c>
      <c r="F555" s="6">
        <v>37.069137</v>
      </c>
      <c r="G555" s="5" t="s">
        <v>217</v>
      </c>
      <c r="H555" s="6">
        <v>2804.70190819073</v>
      </c>
      <c r="I555" s="14">
        <f t="shared" si="80"/>
        <v>37754.5315009823</v>
      </c>
      <c r="J555" s="15">
        <f t="shared" si="81"/>
        <v>4052.21470015933</v>
      </c>
      <c r="K555" s="15">
        <f t="shared" si="82"/>
        <v>33702.3168008229</v>
      </c>
      <c r="L555" s="15">
        <f t="shared" si="83"/>
        <v>0.107330551832007</v>
      </c>
      <c r="M555" s="15">
        <f t="shared" si="84"/>
        <v>0.120235493723102</v>
      </c>
      <c r="N555" s="16">
        <f t="shared" si="85"/>
        <v>36.2396694214876</v>
      </c>
      <c r="O555" s="16">
        <f t="shared" si="86"/>
        <v>1223950.45971098</v>
      </c>
      <c r="P555" s="16">
        <f t="shared" si="87"/>
        <v>1249315.79870711</v>
      </c>
      <c r="Q555" s="16">
        <f t="shared" si="88"/>
        <v>8.14814814814815</v>
      </c>
      <c r="R555" s="16">
        <f t="shared" si="89"/>
        <v>0.979696615521569</v>
      </c>
      <c r="S555" s="16">
        <v>17.1767388825542</v>
      </c>
    </row>
    <row r="556" spans="1:19">
      <c r="A556" s="5" t="s">
        <v>456</v>
      </c>
      <c r="B556" s="6">
        <v>273</v>
      </c>
      <c r="C556" s="6">
        <v>8</v>
      </c>
      <c r="D556" s="6">
        <v>1100</v>
      </c>
      <c r="E556" s="6">
        <v>306.948145</v>
      </c>
      <c r="F556" s="6">
        <v>34.715541</v>
      </c>
      <c r="G556" s="5" t="s">
        <v>217</v>
      </c>
      <c r="H556" s="6">
        <v>5579.98386629553</v>
      </c>
      <c r="I556" s="14">
        <f t="shared" si="80"/>
        <v>58534.9397198484</v>
      </c>
      <c r="J556" s="15">
        <f t="shared" si="81"/>
        <v>6660.17642561036</v>
      </c>
      <c r="K556" s="15">
        <f t="shared" si="82"/>
        <v>51874.7632942381</v>
      </c>
      <c r="L556" s="15">
        <f t="shared" si="83"/>
        <v>0.113781212682312</v>
      </c>
      <c r="M556" s="15">
        <f t="shared" si="84"/>
        <v>0.128389528986056</v>
      </c>
      <c r="N556" s="16">
        <f t="shared" si="85"/>
        <v>34.125</v>
      </c>
      <c r="O556" s="16">
        <f t="shared" si="86"/>
        <v>2044328.79921383</v>
      </c>
      <c r="P556" s="16">
        <f t="shared" si="87"/>
        <v>1800860.47200642</v>
      </c>
      <c r="Q556" s="16">
        <f t="shared" si="88"/>
        <v>8.84180790960452</v>
      </c>
      <c r="R556" s="16">
        <f t="shared" si="89"/>
        <v>1.13519555289931</v>
      </c>
      <c r="S556" s="16">
        <v>16.1172161172161</v>
      </c>
    </row>
    <row r="557" spans="1:19">
      <c r="A557" s="5" t="s">
        <v>457</v>
      </c>
      <c r="B557" s="6">
        <v>273</v>
      </c>
      <c r="C557" s="6">
        <v>8</v>
      </c>
      <c r="D557" s="6">
        <v>1100</v>
      </c>
      <c r="E557" s="6">
        <v>306.948145</v>
      </c>
      <c r="F557" s="6">
        <v>11.8660465</v>
      </c>
      <c r="G557" s="5" t="s">
        <v>217</v>
      </c>
      <c r="H557" s="6">
        <v>4040.33981179923</v>
      </c>
      <c r="I557" s="14">
        <f t="shared" si="80"/>
        <v>58534.9397198484</v>
      </c>
      <c r="J557" s="15">
        <f t="shared" si="81"/>
        <v>6660.17642561036</v>
      </c>
      <c r="K557" s="15">
        <f t="shared" si="82"/>
        <v>51874.7632942381</v>
      </c>
      <c r="L557" s="15">
        <f t="shared" si="83"/>
        <v>0.113781212682312</v>
      </c>
      <c r="M557" s="15">
        <f t="shared" si="84"/>
        <v>0.128389528986056</v>
      </c>
      <c r="N557" s="16">
        <f t="shared" si="85"/>
        <v>34.125</v>
      </c>
      <c r="O557" s="16">
        <f t="shared" si="86"/>
        <v>2044328.79921383</v>
      </c>
      <c r="P557" s="16">
        <f t="shared" si="87"/>
        <v>615548.353425922</v>
      </c>
      <c r="Q557" s="16">
        <f t="shared" si="88"/>
        <v>25.8677685950413</v>
      </c>
      <c r="R557" s="16">
        <f t="shared" si="89"/>
        <v>3.32115062583764</v>
      </c>
      <c r="S557" s="16">
        <v>16.1172161172161</v>
      </c>
    </row>
    <row r="558" spans="1:19">
      <c r="A558" s="5" t="s">
        <v>458</v>
      </c>
      <c r="B558" s="6">
        <v>273</v>
      </c>
      <c r="C558" s="6">
        <v>8</v>
      </c>
      <c r="D558" s="6">
        <v>1100</v>
      </c>
      <c r="E558" s="6">
        <v>306.948145</v>
      </c>
      <c r="F558" s="6">
        <v>11.8660465</v>
      </c>
      <c r="G558" s="5" t="s">
        <v>217</v>
      </c>
      <c r="H558" s="6">
        <v>3844.20681122645</v>
      </c>
      <c r="I558" s="14">
        <f t="shared" si="80"/>
        <v>58534.9397198484</v>
      </c>
      <c r="J558" s="15">
        <f t="shared" si="81"/>
        <v>6660.17642561036</v>
      </c>
      <c r="K558" s="15">
        <f t="shared" si="82"/>
        <v>51874.7632942381</v>
      </c>
      <c r="L558" s="15">
        <f t="shared" si="83"/>
        <v>0.113781212682312</v>
      </c>
      <c r="M558" s="15">
        <f t="shared" si="84"/>
        <v>0.128389528986056</v>
      </c>
      <c r="N558" s="16">
        <f t="shared" si="85"/>
        <v>34.125</v>
      </c>
      <c r="O558" s="16">
        <f t="shared" si="86"/>
        <v>2044328.79921383</v>
      </c>
      <c r="P558" s="16">
        <f t="shared" si="87"/>
        <v>615548.353425922</v>
      </c>
      <c r="Q558" s="16">
        <f t="shared" si="88"/>
        <v>25.8677685950413</v>
      </c>
      <c r="R558" s="16">
        <f t="shared" si="89"/>
        <v>3.32115062583764</v>
      </c>
      <c r="S558" s="16">
        <v>16.1172161172161</v>
      </c>
    </row>
    <row r="559" spans="1:19">
      <c r="A559" s="5" t="s">
        <v>459</v>
      </c>
      <c r="B559" s="6">
        <v>273</v>
      </c>
      <c r="C559" s="6">
        <v>8</v>
      </c>
      <c r="D559" s="6">
        <v>1100</v>
      </c>
      <c r="E559" s="6">
        <v>306.948145</v>
      </c>
      <c r="F559" s="6">
        <v>17.455837</v>
      </c>
      <c r="G559" s="5" t="s">
        <v>217</v>
      </c>
      <c r="H559" s="6">
        <v>5197.52451517862</v>
      </c>
      <c r="I559" s="14">
        <f t="shared" si="80"/>
        <v>58534.9397198484</v>
      </c>
      <c r="J559" s="15">
        <f t="shared" si="81"/>
        <v>6660.17642561036</v>
      </c>
      <c r="K559" s="15">
        <f t="shared" si="82"/>
        <v>51874.7632942381</v>
      </c>
      <c r="L559" s="15">
        <f t="shared" si="83"/>
        <v>0.113781212682312</v>
      </c>
      <c r="M559" s="15">
        <f t="shared" si="84"/>
        <v>0.128389528986056</v>
      </c>
      <c r="N559" s="16">
        <f t="shared" si="85"/>
        <v>34.125</v>
      </c>
      <c r="O559" s="16">
        <f t="shared" si="86"/>
        <v>2044328.79921383</v>
      </c>
      <c r="P559" s="16">
        <f t="shared" si="87"/>
        <v>905517.412477802</v>
      </c>
      <c r="Q559" s="16">
        <f t="shared" si="88"/>
        <v>17.5842696629214</v>
      </c>
      <c r="R559" s="16">
        <f t="shared" si="89"/>
        <v>2.25763609958626</v>
      </c>
      <c r="S559" s="16">
        <v>16.1172161172161</v>
      </c>
    </row>
    <row r="560" spans="1:19">
      <c r="A560" s="5" t="s">
        <v>460</v>
      </c>
      <c r="B560" s="6">
        <v>273</v>
      </c>
      <c r="C560" s="6">
        <v>8</v>
      </c>
      <c r="D560" s="6">
        <v>1100</v>
      </c>
      <c r="E560" s="6">
        <v>306.948145</v>
      </c>
      <c r="F560" s="6">
        <v>17.455837</v>
      </c>
      <c r="G560" s="5" t="s">
        <v>217</v>
      </c>
      <c r="H560" s="6">
        <v>5295.59101546501</v>
      </c>
      <c r="I560" s="14">
        <f t="shared" si="80"/>
        <v>58534.9397198484</v>
      </c>
      <c r="J560" s="15">
        <f t="shared" si="81"/>
        <v>6660.17642561036</v>
      </c>
      <c r="K560" s="15">
        <f t="shared" si="82"/>
        <v>51874.7632942381</v>
      </c>
      <c r="L560" s="15">
        <f t="shared" si="83"/>
        <v>0.113781212682312</v>
      </c>
      <c r="M560" s="15">
        <f t="shared" si="84"/>
        <v>0.128389528986056</v>
      </c>
      <c r="N560" s="16">
        <f t="shared" si="85"/>
        <v>34.125</v>
      </c>
      <c r="O560" s="16">
        <f t="shared" si="86"/>
        <v>2044328.79921383</v>
      </c>
      <c r="P560" s="16">
        <f t="shared" si="87"/>
        <v>905517.412477802</v>
      </c>
      <c r="Q560" s="16">
        <f t="shared" si="88"/>
        <v>17.5842696629214</v>
      </c>
      <c r="R560" s="16">
        <f t="shared" si="89"/>
        <v>2.25763609958626</v>
      </c>
      <c r="S560" s="16">
        <v>16.1172161172161</v>
      </c>
    </row>
    <row r="561" spans="1:19">
      <c r="A561" s="5" t="s">
        <v>461</v>
      </c>
      <c r="B561" s="6">
        <v>204</v>
      </c>
      <c r="C561" s="6">
        <v>2</v>
      </c>
      <c r="D561" s="6">
        <v>880</v>
      </c>
      <c r="E561" s="6">
        <v>235.3596</v>
      </c>
      <c r="F561" s="6">
        <v>12.160246</v>
      </c>
      <c r="G561" s="5" t="s">
        <v>217</v>
      </c>
      <c r="H561" s="6">
        <v>1068.92485312164</v>
      </c>
      <c r="I561" s="14">
        <f t="shared" si="80"/>
        <v>32685.1299679482</v>
      </c>
      <c r="J561" s="15">
        <f t="shared" si="81"/>
        <v>1269.20343205028</v>
      </c>
      <c r="K561" s="15">
        <f t="shared" si="82"/>
        <v>31415.9265358979</v>
      </c>
      <c r="L561" s="15">
        <f t="shared" si="83"/>
        <v>0.0388312187620146</v>
      </c>
      <c r="M561" s="15">
        <f t="shared" si="84"/>
        <v>0.0404</v>
      </c>
      <c r="N561" s="16">
        <f t="shared" si="85"/>
        <v>102</v>
      </c>
      <c r="O561" s="16">
        <f t="shared" si="86"/>
        <v>298719.21208598</v>
      </c>
      <c r="P561" s="16">
        <f t="shared" si="87"/>
        <v>382025.394994447</v>
      </c>
      <c r="Q561" s="16">
        <f t="shared" si="88"/>
        <v>19.3548387096774</v>
      </c>
      <c r="R561" s="16">
        <f t="shared" si="89"/>
        <v>0.781935483870968</v>
      </c>
      <c r="S561" s="16">
        <v>17.2549019607843</v>
      </c>
    </row>
    <row r="562" spans="1:19">
      <c r="A562" s="5" t="s">
        <v>462</v>
      </c>
      <c r="B562" s="6">
        <v>204</v>
      </c>
      <c r="C562" s="6">
        <v>2</v>
      </c>
      <c r="D562" s="6">
        <v>880</v>
      </c>
      <c r="E562" s="6">
        <v>235.3596</v>
      </c>
      <c r="F562" s="6">
        <v>12.160246</v>
      </c>
      <c r="G562" s="5" t="s">
        <v>217</v>
      </c>
      <c r="H562" s="6">
        <v>1039.50490303572</v>
      </c>
      <c r="I562" s="14">
        <f t="shared" si="80"/>
        <v>32685.1299679482</v>
      </c>
      <c r="J562" s="15">
        <f t="shared" si="81"/>
        <v>1269.20343205028</v>
      </c>
      <c r="K562" s="15">
        <f t="shared" si="82"/>
        <v>31415.9265358979</v>
      </c>
      <c r="L562" s="15">
        <f t="shared" si="83"/>
        <v>0.0388312187620146</v>
      </c>
      <c r="M562" s="15">
        <f t="shared" si="84"/>
        <v>0.0404</v>
      </c>
      <c r="N562" s="16">
        <f t="shared" si="85"/>
        <v>102</v>
      </c>
      <c r="O562" s="16">
        <f t="shared" si="86"/>
        <v>298719.21208598</v>
      </c>
      <c r="P562" s="16">
        <f t="shared" si="87"/>
        <v>382025.394994447</v>
      </c>
      <c r="Q562" s="16">
        <f t="shared" si="88"/>
        <v>19.3548387096774</v>
      </c>
      <c r="R562" s="16">
        <f t="shared" si="89"/>
        <v>0.781935483870968</v>
      </c>
      <c r="S562" s="16">
        <v>17.2549019607843</v>
      </c>
    </row>
    <row r="563" spans="1:19">
      <c r="A563" s="5" t="s">
        <v>463</v>
      </c>
      <c r="B563" s="6">
        <v>204</v>
      </c>
      <c r="C563" s="6">
        <v>2</v>
      </c>
      <c r="D563" s="6">
        <v>840</v>
      </c>
      <c r="E563" s="6">
        <v>235.3596</v>
      </c>
      <c r="F563" s="6">
        <v>33.4406765</v>
      </c>
      <c r="G563" s="5" t="s">
        <v>217</v>
      </c>
      <c r="H563" s="6">
        <v>1294.47780378033</v>
      </c>
      <c r="I563" s="14">
        <f t="shared" si="80"/>
        <v>32685.1299679482</v>
      </c>
      <c r="J563" s="15">
        <f t="shared" si="81"/>
        <v>1269.20343205028</v>
      </c>
      <c r="K563" s="15">
        <f t="shared" si="82"/>
        <v>31415.9265358979</v>
      </c>
      <c r="L563" s="15">
        <f t="shared" si="83"/>
        <v>0.0388312187620146</v>
      </c>
      <c r="M563" s="15">
        <f t="shared" si="84"/>
        <v>0.0404</v>
      </c>
      <c r="N563" s="16">
        <f t="shared" si="85"/>
        <v>102</v>
      </c>
      <c r="O563" s="16">
        <f t="shared" si="86"/>
        <v>298719.21208598</v>
      </c>
      <c r="P563" s="16">
        <f t="shared" si="87"/>
        <v>1050569.83623473</v>
      </c>
      <c r="Q563" s="16">
        <f t="shared" si="88"/>
        <v>7.03812316715543</v>
      </c>
      <c r="R563" s="16">
        <f t="shared" si="89"/>
        <v>0.284340175953079</v>
      </c>
      <c r="S563" s="16">
        <v>16.4705882352941</v>
      </c>
    </row>
    <row r="564" spans="1:19">
      <c r="A564" s="5" t="s">
        <v>464</v>
      </c>
      <c r="B564" s="6">
        <v>204</v>
      </c>
      <c r="C564" s="6">
        <v>2</v>
      </c>
      <c r="D564" s="6">
        <v>840</v>
      </c>
      <c r="E564" s="6">
        <v>235.3596</v>
      </c>
      <c r="F564" s="6">
        <v>46.091255</v>
      </c>
      <c r="G564" s="5" t="s">
        <v>217</v>
      </c>
      <c r="H564" s="6">
        <v>1637.7105547827</v>
      </c>
      <c r="I564" s="14">
        <f t="shared" si="80"/>
        <v>32685.1299679482</v>
      </c>
      <c r="J564" s="15">
        <f t="shared" si="81"/>
        <v>1269.20343205028</v>
      </c>
      <c r="K564" s="15">
        <f t="shared" si="82"/>
        <v>31415.9265358979</v>
      </c>
      <c r="L564" s="15">
        <f t="shared" si="83"/>
        <v>0.0388312187620146</v>
      </c>
      <c r="M564" s="15">
        <f t="shared" si="84"/>
        <v>0.0404</v>
      </c>
      <c r="N564" s="16">
        <f t="shared" si="85"/>
        <v>102</v>
      </c>
      <c r="O564" s="16">
        <f t="shared" si="86"/>
        <v>298719.21208598</v>
      </c>
      <c r="P564" s="16">
        <f t="shared" si="87"/>
        <v>1447999.48102734</v>
      </c>
      <c r="Q564" s="16">
        <f t="shared" si="88"/>
        <v>5.1063829787234</v>
      </c>
      <c r="R564" s="16">
        <f t="shared" si="89"/>
        <v>0.206297872340426</v>
      </c>
      <c r="S564" s="16">
        <v>16.4705882352941</v>
      </c>
    </row>
    <row r="565" spans="1:19">
      <c r="A565" s="5" t="s">
        <v>465</v>
      </c>
      <c r="B565" s="6">
        <v>204</v>
      </c>
      <c r="C565" s="6">
        <v>2</v>
      </c>
      <c r="D565" s="6">
        <v>840</v>
      </c>
      <c r="E565" s="6">
        <v>235.3596</v>
      </c>
      <c r="F565" s="6">
        <v>46.875787</v>
      </c>
      <c r="G565" s="5" t="s">
        <v>217</v>
      </c>
      <c r="H565" s="6">
        <v>1691.64712994021</v>
      </c>
      <c r="I565" s="14">
        <f t="shared" si="80"/>
        <v>32685.1299679482</v>
      </c>
      <c r="J565" s="15">
        <f t="shared" si="81"/>
        <v>1269.20343205028</v>
      </c>
      <c r="K565" s="15">
        <f t="shared" si="82"/>
        <v>31415.9265358979</v>
      </c>
      <c r="L565" s="15">
        <f t="shared" si="83"/>
        <v>0.0388312187620146</v>
      </c>
      <c r="M565" s="15">
        <f t="shared" si="84"/>
        <v>0.0404</v>
      </c>
      <c r="N565" s="16">
        <f t="shared" si="85"/>
        <v>102</v>
      </c>
      <c r="O565" s="16">
        <f t="shared" si="86"/>
        <v>298719.21208598</v>
      </c>
      <c r="P565" s="16">
        <f t="shared" si="87"/>
        <v>1472646.2807044</v>
      </c>
      <c r="Q565" s="16">
        <f t="shared" si="88"/>
        <v>5.02092050209205</v>
      </c>
      <c r="R565" s="16">
        <f t="shared" si="89"/>
        <v>0.202845188284519</v>
      </c>
      <c r="S565" s="16">
        <v>16.4705882352941</v>
      </c>
    </row>
    <row r="566" spans="1:19">
      <c r="A566" s="5" t="s">
        <v>466</v>
      </c>
      <c r="B566" s="6">
        <v>96</v>
      </c>
      <c r="C566" s="6">
        <v>5</v>
      </c>
      <c r="D566" s="6">
        <v>410</v>
      </c>
      <c r="E566" s="6">
        <v>410.898635</v>
      </c>
      <c r="F566" s="6">
        <v>12.160246</v>
      </c>
      <c r="G566" s="5" t="s">
        <v>217</v>
      </c>
      <c r="H566" s="6">
        <v>912.018452663418</v>
      </c>
      <c r="I566" s="14">
        <f t="shared" si="80"/>
        <v>7238.22947387088</v>
      </c>
      <c r="J566" s="15">
        <f t="shared" si="81"/>
        <v>1429.42465738336</v>
      </c>
      <c r="K566" s="15">
        <f t="shared" si="82"/>
        <v>5808.80481648753</v>
      </c>
      <c r="L566" s="15">
        <f t="shared" si="83"/>
        <v>0.197482638888889</v>
      </c>
      <c r="M566" s="15">
        <f t="shared" si="84"/>
        <v>0.246078961600865</v>
      </c>
      <c r="N566" s="16">
        <f t="shared" si="85"/>
        <v>19.2</v>
      </c>
      <c r="O566" s="16">
        <f t="shared" si="86"/>
        <v>587348.640554164</v>
      </c>
      <c r="P566" s="16">
        <f t="shared" si="87"/>
        <v>70636.4955344732</v>
      </c>
      <c r="Q566" s="16">
        <f t="shared" si="88"/>
        <v>33.7903225806452</v>
      </c>
      <c r="R566" s="16">
        <f t="shared" si="89"/>
        <v>8.31508749280343</v>
      </c>
      <c r="S566" s="16">
        <v>17.0833333333333</v>
      </c>
    </row>
    <row r="567" spans="1:19">
      <c r="A567" s="5" t="s">
        <v>467</v>
      </c>
      <c r="B567" s="6">
        <v>96</v>
      </c>
      <c r="C567" s="6">
        <v>5</v>
      </c>
      <c r="D567" s="6">
        <v>450</v>
      </c>
      <c r="E567" s="6">
        <v>410.898635</v>
      </c>
      <c r="F567" s="6">
        <v>12.160246</v>
      </c>
      <c r="G567" s="5" t="s">
        <v>217</v>
      </c>
      <c r="H567" s="6">
        <v>843.371902462945</v>
      </c>
      <c r="I567" s="14">
        <f t="shared" si="80"/>
        <v>7238.22947387088</v>
      </c>
      <c r="J567" s="15">
        <f t="shared" si="81"/>
        <v>1429.42465738336</v>
      </c>
      <c r="K567" s="15">
        <f t="shared" si="82"/>
        <v>5808.80481648753</v>
      </c>
      <c r="L567" s="15">
        <f t="shared" si="83"/>
        <v>0.197482638888889</v>
      </c>
      <c r="M567" s="15">
        <f t="shared" si="84"/>
        <v>0.246078961600865</v>
      </c>
      <c r="N567" s="16">
        <f t="shared" si="85"/>
        <v>19.2</v>
      </c>
      <c r="O567" s="16">
        <f t="shared" si="86"/>
        <v>587348.640554164</v>
      </c>
      <c r="P567" s="16">
        <f t="shared" si="87"/>
        <v>70636.4955344732</v>
      </c>
      <c r="Q567" s="16">
        <f t="shared" si="88"/>
        <v>33.7903225806452</v>
      </c>
      <c r="R567" s="16">
        <f t="shared" si="89"/>
        <v>8.31508749280343</v>
      </c>
      <c r="S567" s="16">
        <v>18.75</v>
      </c>
    </row>
    <row r="568" spans="1:19">
      <c r="A568" s="5" t="s">
        <v>468</v>
      </c>
      <c r="B568" s="6">
        <v>96</v>
      </c>
      <c r="C568" s="6">
        <v>5</v>
      </c>
      <c r="D568" s="6">
        <v>400</v>
      </c>
      <c r="E568" s="6">
        <v>410.898635</v>
      </c>
      <c r="F568" s="6">
        <v>46.091255</v>
      </c>
      <c r="G568" s="5" t="s">
        <v>217</v>
      </c>
      <c r="H568" s="6">
        <v>1176.79800343667</v>
      </c>
      <c r="I568" s="14">
        <f t="shared" si="80"/>
        <v>7238.22947387088</v>
      </c>
      <c r="J568" s="15">
        <f t="shared" si="81"/>
        <v>1429.42465738336</v>
      </c>
      <c r="K568" s="15">
        <f t="shared" si="82"/>
        <v>5808.80481648753</v>
      </c>
      <c r="L568" s="15">
        <f t="shared" si="83"/>
        <v>0.197482638888889</v>
      </c>
      <c r="M568" s="15">
        <f t="shared" si="84"/>
        <v>0.246078961600865</v>
      </c>
      <c r="N568" s="16">
        <f t="shared" si="85"/>
        <v>19.2</v>
      </c>
      <c r="O568" s="16">
        <f t="shared" si="86"/>
        <v>587348.640554164</v>
      </c>
      <c r="P568" s="16">
        <f t="shared" si="87"/>
        <v>267735.104041955</v>
      </c>
      <c r="Q568" s="16">
        <f t="shared" si="88"/>
        <v>8.91489361702128</v>
      </c>
      <c r="R568" s="16">
        <f t="shared" si="89"/>
        <v>2.19376776405878</v>
      </c>
      <c r="S568" s="16">
        <v>16.6666666666667</v>
      </c>
    </row>
    <row r="569" spans="1:19">
      <c r="A569" s="5" t="s">
        <v>469</v>
      </c>
      <c r="B569" s="6">
        <v>96</v>
      </c>
      <c r="C569" s="6">
        <v>5</v>
      </c>
      <c r="D569" s="6">
        <v>400</v>
      </c>
      <c r="E569" s="6">
        <v>410.898635</v>
      </c>
      <c r="F569" s="6">
        <v>46.091255</v>
      </c>
      <c r="G569" s="5" t="s">
        <v>217</v>
      </c>
      <c r="H569" s="6">
        <v>1171.89467842235</v>
      </c>
      <c r="I569" s="14">
        <f t="shared" si="80"/>
        <v>7238.22947387088</v>
      </c>
      <c r="J569" s="15">
        <f t="shared" si="81"/>
        <v>1429.42465738336</v>
      </c>
      <c r="K569" s="15">
        <f t="shared" si="82"/>
        <v>5808.80481648753</v>
      </c>
      <c r="L569" s="15">
        <f t="shared" si="83"/>
        <v>0.197482638888889</v>
      </c>
      <c r="M569" s="15">
        <f t="shared" si="84"/>
        <v>0.246078961600865</v>
      </c>
      <c r="N569" s="16">
        <f t="shared" si="85"/>
        <v>19.2</v>
      </c>
      <c r="O569" s="16">
        <f t="shared" si="86"/>
        <v>587348.640554164</v>
      </c>
      <c r="P569" s="16">
        <f t="shared" si="87"/>
        <v>267735.104041955</v>
      </c>
      <c r="Q569" s="16">
        <f t="shared" si="88"/>
        <v>8.91489361702128</v>
      </c>
      <c r="R569" s="16">
        <f t="shared" si="89"/>
        <v>2.19376776405878</v>
      </c>
      <c r="S569" s="16">
        <v>16.6666666666667</v>
      </c>
    </row>
    <row r="570" spans="1:19">
      <c r="A570" s="5" t="s">
        <v>470</v>
      </c>
      <c r="B570" s="6">
        <v>96</v>
      </c>
      <c r="C570" s="6">
        <v>5</v>
      </c>
      <c r="D570" s="6">
        <v>400</v>
      </c>
      <c r="E570" s="6">
        <v>410.898635</v>
      </c>
      <c r="F570" s="6">
        <v>46.091255</v>
      </c>
      <c r="G570" s="5" t="s">
        <v>217</v>
      </c>
      <c r="H570" s="6">
        <v>1073.82817813596</v>
      </c>
      <c r="I570" s="14">
        <f t="shared" si="80"/>
        <v>7238.22947387088</v>
      </c>
      <c r="J570" s="15">
        <f t="shared" si="81"/>
        <v>1429.42465738336</v>
      </c>
      <c r="K570" s="15">
        <f t="shared" si="82"/>
        <v>5808.80481648753</v>
      </c>
      <c r="L570" s="15">
        <f t="shared" si="83"/>
        <v>0.197482638888889</v>
      </c>
      <c r="M570" s="15">
        <f t="shared" si="84"/>
        <v>0.246078961600865</v>
      </c>
      <c r="N570" s="16">
        <f t="shared" si="85"/>
        <v>19.2</v>
      </c>
      <c r="O570" s="16">
        <f t="shared" si="86"/>
        <v>587348.640554164</v>
      </c>
      <c r="P570" s="16">
        <f t="shared" si="87"/>
        <v>267735.104041955</v>
      </c>
      <c r="Q570" s="16">
        <f t="shared" si="88"/>
        <v>8.91489361702128</v>
      </c>
      <c r="R570" s="16">
        <f t="shared" si="89"/>
        <v>2.19376776405878</v>
      </c>
      <c r="S570" s="16">
        <v>16.6666666666667</v>
      </c>
    </row>
    <row r="571" spans="1:19">
      <c r="A571" s="5" t="s">
        <v>471</v>
      </c>
      <c r="B571" s="6">
        <v>96</v>
      </c>
      <c r="C571" s="6">
        <v>5</v>
      </c>
      <c r="D571" s="6">
        <v>405</v>
      </c>
      <c r="E571" s="6">
        <v>410.898635</v>
      </c>
      <c r="F571" s="6">
        <v>46.091255</v>
      </c>
      <c r="G571" s="5" t="s">
        <v>217</v>
      </c>
      <c r="H571" s="6">
        <v>1122.86142827915</v>
      </c>
      <c r="I571" s="14">
        <f t="shared" si="80"/>
        <v>7238.22947387088</v>
      </c>
      <c r="J571" s="15">
        <f t="shared" si="81"/>
        <v>1429.42465738336</v>
      </c>
      <c r="K571" s="15">
        <f t="shared" si="82"/>
        <v>5808.80481648753</v>
      </c>
      <c r="L571" s="15">
        <f t="shared" si="83"/>
        <v>0.197482638888889</v>
      </c>
      <c r="M571" s="15">
        <f t="shared" si="84"/>
        <v>0.246078961600865</v>
      </c>
      <c r="N571" s="16">
        <f t="shared" si="85"/>
        <v>19.2</v>
      </c>
      <c r="O571" s="16">
        <f t="shared" si="86"/>
        <v>587348.640554164</v>
      </c>
      <c r="P571" s="16">
        <f t="shared" si="87"/>
        <v>267735.104041955</v>
      </c>
      <c r="Q571" s="16">
        <f t="shared" si="88"/>
        <v>8.91489361702128</v>
      </c>
      <c r="R571" s="16">
        <f t="shared" si="89"/>
        <v>2.19376776405878</v>
      </c>
      <c r="S571" s="16">
        <v>16.875</v>
      </c>
    </row>
    <row r="572" spans="1:19">
      <c r="A572" s="5" t="s">
        <v>472</v>
      </c>
      <c r="B572" s="6">
        <v>121</v>
      </c>
      <c r="C572" s="6">
        <v>12</v>
      </c>
      <c r="D572" s="6">
        <v>500</v>
      </c>
      <c r="E572" s="6">
        <v>294.1995</v>
      </c>
      <c r="F572" s="6">
        <v>12.160246</v>
      </c>
      <c r="G572" s="5" t="s">
        <v>217</v>
      </c>
      <c r="H572" s="6">
        <v>2417.33923205949</v>
      </c>
      <c r="I572" s="14">
        <f t="shared" si="80"/>
        <v>11499.014510302</v>
      </c>
      <c r="J572" s="15">
        <f t="shared" si="81"/>
        <v>4109.20319089545</v>
      </c>
      <c r="K572" s="15">
        <f t="shared" si="82"/>
        <v>7389.81131940659</v>
      </c>
      <c r="L572" s="15">
        <f t="shared" si="83"/>
        <v>0.357352639847005</v>
      </c>
      <c r="M572" s="15">
        <f t="shared" si="84"/>
        <v>0.556063343607185</v>
      </c>
      <c r="N572" s="16">
        <f t="shared" si="85"/>
        <v>10.0833333333333</v>
      </c>
      <c r="O572" s="16">
        <f t="shared" si="86"/>
        <v>1208925.52415985</v>
      </c>
      <c r="P572" s="16">
        <f t="shared" si="87"/>
        <v>89861.9235375687</v>
      </c>
      <c r="Q572" s="16">
        <f t="shared" si="88"/>
        <v>24.1935483870968</v>
      </c>
      <c r="R572" s="16">
        <f t="shared" si="89"/>
        <v>13.4531454098512</v>
      </c>
      <c r="S572" s="16">
        <v>16.5289256198347</v>
      </c>
    </row>
    <row r="573" spans="1:19">
      <c r="A573" s="5" t="s">
        <v>473</v>
      </c>
      <c r="B573" s="6">
        <v>121</v>
      </c>
      <c r="C573" s="6">
        <v>12</v>
      </c>
      <c r="D573" s="6">
        <v>500</v>
      </c>
      <c r="E573" s="6">
        <v>294.1995</v>
      </c>
      <c r="F573" s="6">
        <v>12.160246</v>
      </c>
      <c r="G573" s="5" t="s">
        <v>217</v>
      </c>
      <c r="H573" s="6">
        <v>2373.20930693061</v>
      </c>
      <c r="I573" s="14">
        <f t="shared" si="80"/>
        <v>11499.014510302</v>
      </c>
      <c r="J573" s="15">
        <f t="shared" si="81"/>
        <v>4109.20319089545</v>
      </c>
      <c r="K573" s="15">
        <f t="shared" si="82"/>
        <v>7389.81131940659</v>
      </c>
      <c r="L573" s="15">
        <f t="shared" si="83"/>
        <v>0.357352639847005</v>
      </c>
      <c r="M573" s="15">
        <f t="shared" si="84"/>
        <v>0.556063343607185</v>
      </c>
      <c r="N573" s="16">
        <f t="shared" si="85"/>
        <v>10.0833333333333</v>
      </c>
      <c r="O573" s="16">
        <f t="shared" si="86"/>
        <v>1208925.52415985</v>
      </c>
      <c r="P573" s="16">
        <f t="shared" si="87"/>
        <v>89861.9235375687</v>
      </c>
      <c r="Q573" s="16">
        <f t="shared" si="88"/>
        <v>24.1935483870968</v>
      </c>
      <c r="R573" s="16">
        <f t="shared" si="89"/>
        <v>13.4531454098512</v>
      </c>
      <c r="S573" s="16">
        <v>16.5289256198347</v>
      </c>
    </row>
    <row r="574" spans="1:19">
      <c r="A574" s="5" t="s">
        <v>474</v>
      </c>
      <c r="B574" s="6">
        <v>121</v>
      </c>
      <c r="C574" s="6">
        <v>12</v>
      </c>
      <c r="D574" s="6">
        <v>500</v>
      </c>
      <c r="E574" s="6">
        <v>294.1995</v>
      </c>
      <c r="F574" s="6">
        <v>33.4406765</v>
      </c>
      <c r="G574" s="5" t="s">
        <v>217</v>
      </c>
      <c r="H574" s="6">
        <v>2500.69575730292</v>
      </c>
      <c r="I574" s="14">
        <f t="shared" si="80"/>
        <v>11499.014510302</v>
      </c>
      <c r="J574" s="15">
        <f t="shared" si="81"/>
        <v>4109.20319089545</v>
      </c>
      <c r="K574" s="15">
        <f t="shared" si="82"/>
        <v>7389.81131940659</v>
      </c>
      <c r="L574" s="15">
        <f t="shared" si="83"/>
        <v>0.357352639847005</v>
      </c>
      <c r="M574" s="15">
        <f t="shared" si="84"/>
        <v>0.556063343607185</v>
      </c>
      <c r="N574" s="16">
        <f t="shared" si="85"/>
        <v>10.0833333333333</v>
      </c>
      <c r="O574" s="16">
        <f t="shared" si="86"/>
        <v>1208925.52415985</v>
      </c>
      <c r="P574" s="16">
        <f t="shared" si="87"/>
        <v>247120.289728314</v>
      </c>
      <c r="Q574" s="16">
        <f t="shared" si="88"/>
        <v>8.79765395894428</v>
      </c>
      <c r="R574" s="16">
        <f t="shared" si="89"/>
        <v>4.89205287630954</v>
      </c>
      <c r="S574" s="16">
        <v>16.5289256198347</v>
      </c>
    </row>
    <row r="575" spans="1:19">
      <c r="A575" s="5" t="s">
        <v>475</v>
      </c>
      <c r="B575" s="6">
        <v>121</v>
      </c>
      <c r="C575" s="6">
        <v>12</v>
      </c>
      <c r="D575" s="6">
        <v>500</v>
      </c>
      <c r="E575" s="6">
        <v>294.1995</v>
      </c>
      <c r="F575" s="6">
        <v>11.8660465</v>
      </c>
      <c r="G575" s="5" t="s">
        <v>217</v>
      </c>
      <c r="H575" s="6">
        <v>2333.98270681606</v>
      </c>
      <c r="I575" s="14">
        <f t="shared" si="80"/>
        <v>11499.014510302</v>
      </c>
      <c r="J575" s="15">
        <f t="shared" si="81"/>
        <v>4109.20319089545</v>
      </c>
      <c r="K575" s="15">
        <f t="shared" si="82"/>
        <v>7389.81131940659</v>
      </c>
      <c r="L575" s="15">
        <f t="shared" si="83"/>
        <v>0.357352639847005</v>
      </c>
      <c r="M575" s="15">
        <f t="shared" si="84"/>
        <v>0.556063343607185</v>
      </c>
      <c r="N575" s="16">
        <f t="shared" si="85"/>
        <v>10.0833333333333</v>
      </c>
      <c r="O575" s="16">
        <f t="shared" si="86"/>
        <v>1208925.52415985</v>
      </c>
      <c r="P575" s="16">
        <f t="shared" si="87"/>
        <v>87687.844742305</v>
      </c>
      <c r="Q575" s="16">
        <f t="shared" si="88"/>
        <v>24.7933884297521</v>
      </c>
      <c r="R575" s="16">
        <f t="shared" si="89"/>
        <v>13.7866944695996</v>
      </c>
      <c r="S575" s="16">
        <v>16.5289256198347</v>
      </c>
    </row>
    <row r="576" spans="1:19">
      <c r="A576" s="5" t="s">
        <v>476</v>
      </c>
      <c r="B576" s="6">
        <v>121</v>
      </c>
      <c r="C576" s="6">
        <v>12</v>
      </c>
      <c r="D576" s="6">
        <v>500</v>
      </c>
      <c r="E576" s="6">
        <v>294.1995</v>
      </c>
      <c r="F576" s="6">
        <v>33.4406765</v>
      </c>
      <c r="G576" s="5" t="s">
        <v>217</v>
      </c>
      <c r="H576" s="6">
        <v>2422.24255707381</v>
      </c>
      <c r="I576" s="14">
        <f t="shared" si="80"/>
        <v>11499.014510302</v>
      </c>
      <c r="J576" s="15">
        <f t="shared" si="81"/>
        <v>4109.20319089545</v>
      </c>
      <c r="K576" s="15">
        <f t="shared" si="82"/>
        <v>7389.81131940659</v>
      </c>
      <c r="L576" s="15">
        <f t="shared" si="83"/>
        <v>0.357352639847005</v>
      </c>
      <c r="M576" s="15">
        <f t="shared" si="84"/>
        <v>0.556063343607185</v>
      </c>
      <c r="N576" s="16">
        <f t="shared" si="85"/>
        <v>10.0833333333333</v>
      </c>
      <c r="O576" s="16">
        <f t="shared" si="86"/>
        <v>1208925.52415985</v>
      </c>
      <c r="P576" s="16">
        <f t="shared" si="87"/>
        <v>247120.289728314</v>
      </c>
      <c r="Q576" s="16">
        <f t="shared" si="88"/>
        <v>8.79765395894428</v>
      </c>
      <c r="R576" s="16">
        <f t="shared" si="89"/>
        <v>4.89205287630954</v>
      </c>
      <c r="S576" s="16">
        <v>16.5289256198347</v>
      </c>
    </row>
    <row r="577" spans="1:19">
      <c r="A577" s="5" t="s">
        <v>477</v>
      </c>
      <c r="B577" s="6">
        <v>121</v>
      </c>
      <c r="C577" s="6">
        <v>12</v>
      </c>
      <c r="D577" s="6">
        <v>500</v>
      </c>
      <c r="E577" s="6">
        <v>294.1995</v>
      </c>
      <c r="F577" s="6">
        <v>46.875787</v>
      </c>
      <c r="G577" s="5" t="s">
        <v>217</v>
      </c>
      <c r="H577" s="6">
        <v>2588.95560756067</v>
      </c>
      <c r="I577" s="14">
        <f t="shared" si="80"/>
        <v>11499.014510302</v>
      </c>
      <c r="J577" s="15">
        <f t="shared" si="81"/>
        <v>4109.20319089545</v>
      </c>
      <c r="K577" s="15">
        <f t="shared" si="82"/>
        <v>7389.81131940659</v>
      </c>
      <c r="L577" s="15">
        <f t="shared" si="83"/>
        <v>0.357352639847005</v>
      </c>
      <c r="M577" s="15">
        <f t="shared" si="84"/>
        <v>0.556063343607185</v>
      </c>
      <c r="N577" s="16">
        <f t="shared" si="85"/>
        <v>10.0833333333333</v>
      </c>
      <c r="O577" s="16">
        <f t="shared" si="86"/>
        <v>1208925.52415985</v>
      </c>
      <c r="P577" s="16">
        <f t="shared" si="87"/>
        <v>346403.221378692</v>
      </c>
      <c r="Q577" s="16">
        <f t="shared" si="88"/>
        <v>6.27615062761506</v>
      </c>
      <c r="R577" s="16">
        <f t="shared" si="89"/>
        <v>3.48993730297396</v>
      </c>
      <c r="S577" s="16">
        <v>16.5289256198347</v>
      </c>
    </row>
    <row r="578" spans="1:19">
      <c r="A578" s="5" t="s">
        <v>478</v>
      </c>
      <c r="B578" s="6">
        <v>165.2</v>
      </c>
      <c r="C578" s="6">
        <v>4.5</v>
      </c>
      <c r="D578" s="6">
        <v>661</v>
      </c>
      <c r="E578" s="6">
        <v>413.84063</v>
      </c>
      <c r="F578" s="6">
        <v>40.8937305</v>
      </c>
      <c r="G578" s="5"/>
      <c r="H578" s="6">
        <v>1562.19934956218</v>
      </c>
      <c r="I578" s="14">
        <f t="shared" si="80"/>
        <v>21434.3326932063</v>
      </c>
      <c r="J578" s="15">
        <f t="shared" si="81"/>
        <v>2271.84272744346</v>
      </c>
      <c r="K578" s="15">
        <f t="shared" si="82"/>
        <v>19162.4899657628</v>
      </c>
      <c r="L578" s="15">
        <f t="shared" si="83"/>
        <v>0.105990830690219</v>
      </c>
      <c r="M578" s="15">
        <f t="shared" si="84"/>
        <v>0.118556760186307</v>
      </c>
      <c r="N578" s="16">
        <f t="shared" si="85"/>
        <v>36.7111111111111</v>
      </c>
      <c r="O578" s="16">
        <f t="shared" si="86"/>
        <v>940180.82558612</v>
      </c>
      <c r="P578" s="16">
        <f t="shared" si="87"/>
        <v>783625.700368859</v>
      </c>
      <c r="Q578" s="16">
        <f t="shared" si="88"/>
        <v>10.1199040767386</v>
      </c>
      <c r="R578" s="16">
        <f t="shared" si="89"/>
        <v>1.19978304073433</v>
      </c>
      <c r="S578" s="16">
        <v>16.0048426150121</v>
      </c>
    </row>
    <row r="579" spans="1:19">
      <c r="A579" s="5" t="s">
        <v>479</v>
      </c>
      <c r="B579" s="6">
        <v>140.8</v>
      </c>
      <c r="C579" s="6">
        <v>3</v>
      </c>
      <c r="D579" s="6">
        <v>635</v>
      </c>
      <c r="E579" s="6">
        <v>285</v>
      </c>
      <c r="F579" s="6">
        <v>28.18</v>
      </c>
      <c r="G579" s="5" t="s">
        <v>20</v>
      </c>
      <c r="H579" s="6">
        <v>881</v>
      </c>
      <c r="I579" s="14">
        <f t="shared" ref="I579:I642" si="90">(PI()*B579^2)/4</f>
        <v>15570.2358460156</v>
      </c>
      <c r="J579" s="15">
        <f t="shared" ref="J579:J642" si="91">(PI()*(B579^2-(B579-2*C579)^2))/4</f>
        <v>1298.73440299402</v>
      </c>
      <c r="K579" s="15">
        <f t="shared" ref="K579:K642" si="92">(PI()*(B579-2*C579)^2)/4</f>
        <v>14271.5014430216</v>
      </c>
      <c r="L579" s="15">
        <f t="shared" ref="L579:L642" si="93">J579/I579</f>
        <v>0.0834113507231404</v>
      </c>
      <c r="M579" s="15">
        <f t="shared" ref="M579:M642" si="94">J579/K579</f>
        <v>0.0910019459535612</v>
      </c>
      <c r="N579" s="16">
        <f t="shared" ref="N579:N642" si="95">B579/C579</f>
        <v>46.9333333333333</v>
      </c>
      <c r="O579" s="16">
        <f t="shared" ref="O579:O642" si="96">J579*E579</f>
        <v>370139.304853295</v>
      </c>
      <c r="P579" s="16">
        <f t="shared" ref="P579:P642" si="97">K579*F579</f>
        <v>402170.910664348</v>
      </c>
      <c r="Q579" s="16">
        <f t="shared" ref="Q579:Q642" si="98">E579/F579</f>
        <v>10.1135557132718</v>
      </c>
      <c r="R579" s="16">
        <f t="shared" ref="R579:R642" si="99">O579/P579</f>
        <v>0.920353250417492</v>
      </c>
      <c r="S579" s="16">
        <v>18.0397727272727</v>
      </c>
    </row>
    <row r="580" spans="1:19">
      <c r="A580" s="5" t="s">
        <v>480</v>
      </c>
      <c r="B580" s="6">
        <v>141.4</v>
      </c>
      <c r="C580" s="6">
        <v>6.5</v>
      </c>
      <c r="D580" s="6">
        <v>635</v>
      </c>
      <c r="E580" s="6">
        <v>313</v>
      </c>
      <c r="F580" s="6">
        <v>23.805</v>
      </c>
      <c r="G580" s="5" t="s">
        <v>20</v>
      </c>
      <c r="H580" s="6">
        <v>1825</v>
      </c>
      <c r="I580" s="14">
        <f t="shared" si="90"/>
        <v>15703.219463042</v>
      </c>
      <c r="J580" s="15">
        <f t="shared" si="91"/>
        <v>2754.70551830021</v>
      </c>
      <c r="K580" s="15">
        <f t="shared" si="92"/>
        <v>12948.5139447418</v>
      </c>
      <c r="L580" s="15">
        <f t="shared" si="93"/>
        <v>0.175422977739277</v>
      </c>
      <c r="M580" s="15">
        <f t="shared" si="94"/>
        <v>0.212742985801768</v>
      </c>
      <c r="N580" s="16">
        <f t="shared" si="95"/>
        <v>21.7538461538462</v>
      </c>
      <c r="O580" s="16">
        <f t="shared" si="96"/>
        <v>862222.827227966</v>
      </c>
      <c r="P580" s="16">
        <f t="shared" si="97"/>
        <v>308239.374454579</v>
      </c>
      <c r="Q580" s="16">
        <f t="shared" si="98"/>
        <v>13.1484982146608</v>
      </c>
      <c r="R580" s="16">
        <f t="shared" si="99"/>
        <v>2.79725076899616</v>
      </c>
      <c r="S580" s="16">
        <v>17.963224893918</v>
      </c>
    </row>
    <row r="581" spans="1:19">
      <c r="A581" s="5" t="s">
        <v>481</v>
      </c>
      <c r="B581" s="6">
        <v>60</v>
      </c>
      <c r="C581" s="6">
        <v>1.87</v>
      </c>
      <c r="D581" s="6">
        <v>180</v>
      </c>
      <c r="E581" s="6">
        <v>282</v>
      </c>
      <c r="F581" s="6">
        <v>85.2</v>
      </c>
      <c r="G581" s="5" t="s">
        <v>265</v>
      </c>
      <c r="H581" s="6">
        <v>312</v>
      </c>
      <c r="I581" s="14">
        <f t="shared" si="90"/>
        <v>2827.43338823081</v>
      </c>
      <c r="J581" s="15">
        <f t="shared" si="91"/>
        <v>341.500860382437</v>
      </c>
      <c r="K581" s="15">
        <f t="shared" si="92"/>
        <v>2485.93252784838</v>
      </c>
      <c r="L581" s="15">
        <f t="shared" si="93"/>
        <v>0.120781222222222</v>
      </c>
      <c r="M581" s="15">
        <f t="shared" si="94"/>
        <v>0.137373342420525</v>
      </c>
      <c r="N581" s="16">
        <f t="shared" si="95"/>
        <v>32.0855614973262</v>
      </c>
      <c r="O581" s="16">
        <f t="shared" si="96"/>
        <v>96303.2426278472</v>
      </c>
      <c r="P581" s="16">
        <f t="shared" si="97"/>
        <v>211801.451372682</v>
      </c>
      <c r="Q581" s="16">
        <f t="shared" si="98"/>
        <v>3.30985915492958</v>
      </c>
      <c r="R581" s="16">
        <f t="shared" si="99"/>
        <v>0.454686415053851</v>
      </c>
      <c r="S581" s="16">
        <v>12</v>
      </c>
    </row>
    <row r="582" spans="1:19">
      <c r="A582" s="5" t="s">
        <v>482</v>
      </c>
      <c r="B582" s="6">
        <v>60</v>
      </c>
      <c r="C582" s="6">
        <v>1.87</v>
      </c>
      <c r="D582" s="6">
        <v>180</v>
      </c>
      <c r="E582" s="6">
        <v>282</v>
      </c>
      <c r="F582" s="6">
        <v>85.2</v>
      </c>
      <c r="G582" s="5" t="s">
        <v>265</v>
      </c>
      <c r="H582" s="6">
        <v>320</v>
      </c>
      <c r="I582" s="14">
        <f t="shared" si="90"/>
        <v>2827.43338823081</v>
      </c>
      <c r="J582" s="15">
        <f t="shared" si="91"/>
        <v>341.500860382437</v>
      </c>
      <c r="K582" s="15">
        <f t="shared" si="92"/>
        <v>2485.93252784838</v>
      </c>
      <c r="L582" s="15">
        <f t="shared" si="93"/>
        <v>0.120781222222222</v>
      </c>
      <c r="M582" s="15">
        <f t="shared" si="94"/>
        <v>0.137373342420525</v>
      </c>
      <c r="N582" s="16">
        <f t="shared" si="95"/>
        <v>32.0855614973262</v>
      </c>
      <c r="O582" s="16">
        <f t="shared" si="96"/>
        <v>96303.2426278472</v>
      </c>
      <c r="P582" s="16">
        <f t="shared" si="97"/>
        <v>211801.451372682</v>
      </c>
      <c r="Q582" s="16">
        <f t="shared" si="98"/>
        <v>3.30985915492958</v>
      </c>
      <c r="R582" s="16">
        <f t="shared" si="99"/>
        <v>0.454686415053851</v>
      </c>
      <c r="S582" s="16">
        <v>12</v>
      </c>
    </row>
    <row r="583" spans="1:19">
      <c r="A583" s="5" t="s">
        <v>483</v>
      </c>
      <c r="B583" s="6">
        <v>100</v>
      </c>
      <c r="C583" s="6">
        <v>1.87</v>
      </c>
      <c r="D583" s="6">
        <v>300</v>
      </c>
      <c r="E583" s="6">
        <v>282</v>
      </c>
      <c r="F583" s="6">
        <v>85.2</v>
      </c>
      <c r="G583" s="5" t="s">
        <v>265</v>
      </c>
      <c r="H583" s="6">
        <v>822</v>
      </c>
      <c r="I583" s="14">
        <f t="shared" si="90"/>
        <v>7853.98163397448</v>
      </c>
      <c r="J583" s="15">
        <f t="shared" si="91"/>
        <v>576.491990870953</v>
      </c>
      <c r="K583" s="15">
        <f t="shared" si="92"/>
        <v>7277.48964310353</v>
      </c>
      <c r="L583" s="15">
        <f t="shared" si="93"/>
        <v>0.07340124</v>
      </c>
      <c r="M583" s="15">
        <f t="shared" si="94"/>
        <v>0.0792157762006934</v>
      </c>
      <c r="N583" s="16">
        <f t="shared" si="95"/>
        <v>53.475935828877</v>
      </c>
      <c r="O583" s="16">
        <f t="shared" si="96"/>
        <v>162570.741425609</v>
      </c>
      <c r="P583" s="16">
        <f t="shared" si="97"/>
        <v>620042.117592421</v>
      </c>
      <c r="Q583" s="16">
        <f t="shared" si="98"/>
        <v>3.30985915492958</v>
      </c>
      <c r="R583" s="16">
        <f t="shared" si="99"/>
        <v>0.262193062072717</v>
      </c>
      <c r="S583" s="16">
        <v>12</v>
      </c>
    </row>
    <row r="584" spans="1:19">
      <c r="A584" s="5" t="s">
        <v>484</v>
      </c>
      <c r="B584" s="6">
        <v>100</v>
      </c>
      <c r="C584" s="6">
        <v>1.87</v>
      </c>
      <c r="D584" s="6">
        <v>300</v>
      </c>
      <c r="E584" s="6">
        <v>282</v>
      </c>
      <c r="F584" s="6">
        <v>85.2</v>
      </c>
      <c r="G584" s="5" t="s">
        <v>265</v>
      </c>
      <c r="H584" s="6">
        <v>845</v>
      </c>
      <c r="I584" s="14">
        <f t="shared" si="90"/>
        <v>7853.98163397448</v>
      </c>
      <c r="J584" s="15">
        <f t="shared" si="91"/>
        <v>576.491990870953</v>
      </c>
      <c r="K584" s="15">
        <f t="shared" si="92"/>
        <v>7277.48964310353</v>
      </c>
      <c r="L584" s="15">
        <f t="shared" si="93"/>
        <v>0.07340124</v>
      </c>
      <c r="M584" s="15">
        <f t="shared" si="94"/>
        <v>0.0792157762006934</v>
      </c>
      <c r="N584" s="16">
        <f t="shared" si="95"/>
        <v>53.475935828877</v>
      </c>
      <c r="O584" s="16">
        <f t="shared" si="96"/>
        <v>162570.741425609</v>
      </c>
      <c r="P584" s="16">
        <f t="shared" si="97"/>
        <v>620042.117592421</v>
      </c>
      <c r="Q584" s="16">
        <f t="shared" si="98"/>
        <v>3.30985915492958</v>
      </c>
      <c r="R584" s="16">
        <f t="shared" si="99"/>
        <v>0.262193062072717</v>
      </c>
      <c r="S584" s="16">
        <v>12</v>
      </c>
    </row>
    <row r="585" spans="1:19">
      <c r="A585" s="5" t="s">
        <v>485</v>
      </c>
      <c r="B585" s="6">
        <v>150</v>
      </c>
      <c r="C585" s="6">
        <v>1.87</v>
      </c>
      <c r="D585" s="6">
        <v>450</v>
      </c>
      <c r="E585" s="6">
        <v>282</v>
      </c>
      <c r="F585" s="6">
        <v>85.2</v>
      </c>
      <c r="G585" s="5" t="s">
        <v>265</v>
      </c>
      <c r="H585" s="6">
        <v>1701</v>
      </c>
      <c r="I585" s="14">
        <f t="shared" si="90"/>
        <v>17671.4586764426</v>
      </c>
      <c r="J585" s="15">
        <f t="shared" si="91"/>
        <v>870.230903981601</v>
      </c>
      <c r="K585" s="15">
        <f t="shared" si="92"/>
        <v>16801.227772461</v>
      </c>
      <c r="L585" s="15">
        <f t="shared" si="93"/>
        <v>0.0492449955555557</v>
      </c>
      <c r="M585" s="15">
        <f t="shared" si="94"/>
        <v>0.0517956732547846</v>
      </c>
      <c r="N585" s="16">
        <f t="shared" si="95"/>
        <v>80.2139037433155</v>
      </c>
      <c r="O585" s="16">
        <f t="shared" si="96"/>
        <v>245405.114922812</v>
      </c>
      <c r="P585" s="16">
        <f t="shared" si="97"/>
        <v>1431464.60621368</v>
      </c>
      <c r="Q585" s="16">
        <f t="shared" si="98"/>
        <v>3.30985915492958</v>
      </c>
      <c r="R585" s="16">
        <f t="shared" si="99"/>
        <v>0.17143638330809</v>
      </c>
      <c r="S585" s="16">
        <v>12</v>
      </c>
    </row>
    <row r="586" spans="1:19">
      <c r="A586" s="5" t="s">
        <v>486</v>
      </c>
      <c r="B586" s="6">
        <v>150</v>
      </c>
      <c r="C586" s="6">
        <v>1.87</v>
      </c>
      <c r="D586" s="6">
        <v>450</v>
      </c>
      <c r="E586" s="6">
        <v>282</v>
      </c>
      <c r="F586" s="6">
        <v>85.2</v>
      </c>
      <c r="G586" s="5" t="s">
        <v>265</v>
      </c>
      <c r="H586" s="6">
        <v>1670</v>
      </c>
      <c r="I586" s="14">
        <f t="shared" si="90"/>
        <v>17671.4586764426</v>
      </c>
      <c r="J586" s="15">
        <f t="shared" si="91"/>
        <v>870.230903981601</v>
      </c>
      <c r="K586" s="15">
        <f t="shared" si="92"/>
        <v>16801.227772461</v>
      </c>
      <c r="L586" s="15">
        <f t="shared" si="93"/>
        <v>0.0492449955555557</v>
      </c>
      <c r="M586" s="15">
        <f t="shared" si="94"/>
        <v>0.0517956732547846</v>
      </c>
      <c r="N586" s="16">
        <f t="shared" si="95"/>
        <v>80.2139037433155</v>
      </c>
      <c r="O586" s="16">
        <f t="shared" si="96"/>
        <v>245405.114922812</v>
      </c>
      <c r="P586" s="16">
        <f t="shared" si="97"/>
        <v>1431464.60621368</v>
      </c>
      <c r="Q586" s="16">
        <f t="shared" si="98"/>
        <v>3.30985915492958</v>
      </c>
      <c r="R586" s="16">
        <f t="shared" si="99"/>
        <v>0.17143638330809</v>
      </c>
      <c r="S586" s="16">
        <v>12</v>
      </c>
    </row>
    <row r="587" spans="1:19">
      <c r="A587" s="5" t="s">
        <v>487</v>
      </c>
      <c r="B587" s="6">
        <v>200</v>
      </c>
      <c r="C587" s="6">
        <v>1.87</v>
      </c>
      <c r="D587" s="6">
        <v>600</v>
      </c>
      <c r="E587" s="6">
        <v>282</v>
      </c>
      <c r="F587" s="6">
        <v>85.2</v>
      </c>
      <c r="G587" s="5" t="s">
        <v>265</v>
      </c>
      <c r="H587" s="6">
        <v>2783</v>
      </c>
      <c r="I587" s="14">
        <f t="shared" si="90"/>
        <v>31415.9265358979</v>
      </c>
      <c r="J587" s="15">
        <f t="shared" si="91"/>
        <v>1163.96981709225</v>
      </c>
      <c r="K587" s="15">
        <f t="shared" si="92"/>
        <v>30251.9567188057</v>
      </c>
      <c r="L587" s="15">
        <f t="shared" si="93"/>
        <v>0.0370503100000002</v>
      </c>
      <c r="M587" s="15">
        <f t="shared" si="94"/>
        <v>0.0384758522535068</v>
      </c>
      <c r="N587" s="16">
        <f t="shared" si="95"/>
        <v>106.951871657754</v>
      </c>
      <c r="O587" s="16">
        <f t="shared" si="96"/>
        <v>328239.488420015</v>
      </c>
      <c r="P587" s="16">
        <f t="shared" si="97"/>
        <v>2577466.71244224</v>
      </c>
      <c r="Q587" s="16">
        <f t="shared" si="98"/>
        <v>3.30985915492958</v>
      </c>
      <c r="R587" s="16">
        <f t="shared" si="99"/>
        <v>0.127349651824987</v>
      </c>
      <c r="S587" s="16">
        <v>12</v>
      </c>
    </row>
    <row r="588" spans="1:19">
      <c r="A588" s="5" t="s">
        <v>488</v>
      </c>
      <c r="B588" s="6">
        <v>200</v>
      </c>
      <c r="C588" s="6">
        <v>1.87</v>
      </c>
      <c r="D588" s="6">
        <v>600</v>
      </c>
      <c r="E588" s="6">
        <v>282</v>
      </c>
      <c r="F588" s="6">
        <v>85.2</v>
      </c>
      <c r="G588" s="5" t="s">
        <v>265</v>
      </c>
      <c r="H588" s="6">
        <v>2824</v>
      </c>
      <c r="I588" s="14">
        <f t="shared" si="90"/>
        <v>31415.9265358979</v>
      </c>
      <c r="J588" s="15">
        <f t="shared" si="91"/>
        <v>1163.96981709225</v>
      </c>
      <c r="K588" s="15">
        <f t="shared" si="92"/>
        <v>30251.9567188057</v>
      </c>
      <c r="L588" s="15">
        <f t="shared" si="93"/>
        <v>0.0370503100000002</v>
      </c>
      <c r="M588" s="15">
        <f t="shared" si="94"/>
        <v>0.0384758522535068</v>
      </c>
      <c r="N588" s="16">
        <f t="shared" si="95"/>
        <v>106.951871657754</v>
      </c>
      <c r="O588" s="16">
        <f t="shared" si="96"/>
        <v>328239.488420015</v>
      </c>
      <c r="P588" s="16">
        <f t="shared" si="97"/>
        <v>2577466.71244224</v>
      </c>
      <c r="Q588" s="16">
        <f t="shared" si="98"/>
        <v>3.30985915492958</v>
      </c>
      <c r="R588" s="16">
        <f t="shared" si="99"/>
        <v>0.127349651824987</v>
      </c>
      <c r="S588" s="16">
        <v>12</v>
      </c>
    </row>
    <row r="589" spans="1:19">
      <c r="A589" s="5" t="s">
        <v>489</v>
      </c>
      <c r="B589" s="6">
        <v>250</v>
      </c>
      <c r="C589" s="6">
        <v>1.87</v>
      </c>
      <c r="D589" s="6">
        <v>750</v>
      </c>
      <c r="E589" s="6">
        <v>282</v>
      </c>
      <c r="F589" s="6">
        <v>85.2</v>
      </c>
      <c r="G589" s="5" t="s">
        <v>265</v>
      </c>
      <c r="H589" s="6">
        <v>3950</v>
      </c>
      <c r="I589" s="14">
        <f t="shared" si="90"/>
        <v>49087.3852123405</v>
      </c>
      <c r="J589" s="15">
        <f t="shared" si="91"/>
        <v>1457.7087302029</v>
      </c>
      <c r="K589" s="15">
        <f t="shared" si="92"/>
        <v>47629.6764821376</v>
      </c>
      <c r="L589" s="15">
        <f t="shared" si="93"/>
        <v>0.0296961984000001</v>
      </c>
      <c r="M589" s="15">
        <f t="shared" si="94"/>
        <v>0.0306050520991797</v>
      </c>
      <c r="N589" s="16">
        <f t="shared" si="95"/>
        <v>133.689839572193</v>
      </c>
      <c r="O589" s="16">
        <f t="shared" si="96"/>
        <v>411073.861917217</v>
      </c>
      <c r="P589" s="16">
        <f t="shared" si="97"/>
        <v>4058048.43627813</v>
      </c>
      <c r="Q589" s="16">
        <f t="shared" si="98"/>
        <v>3.30985915492958</v>
      </c>
      <c r="R589" s="16">
        <f t="shared" si="99"/>
        <v>0.101298411877567</v>
      </c>
      <c r="S589" s="16">
        <v>12</v>
      </c>
    </row>
    <row r="590" spans="1:19">
      <c r="A590" s="5" t="s">
        <v>490</v>
      </c>
      <c r="B590" s="6">
        <v>250</v>
      </c>
      <c r="C590" s="6">
        <v>1.87</v>
      </c>
      <c r="D590" s="6">
        <v>750</v>
      </c>
      <c r="E590" s="6">
        <v>282</v>
      </c>
      <c r="F590" s="6">
        <v>85.2</v>
      </c>
      <c r="G590" s="5" t="s">
        <v>265</v>
      </c>
      <c r="H590" s="6">
        <v>4102</v>
      </c>
      <c r="I590" s="14">
        <f t="shared" si="90"/>
        <v>49087.3852123405</v>
      </c>
      <c r="J590" s="15">
        <f t="shared" si="91"/>
        <v>1457.7087302029</v>
      </c>
      <c r="K590" s="15">
        <f t="shared" si="92"/>
        <v>47629.6764821376</v>
      </c>
      <c r="L590" s="15">
        <f t="shared" si="93"/>
        <v>0.0296961984000001</v>
      </c>
      <c r="M590" s="15">
        <f t="shared" si="94"/>
        <v>0.0306050520991797</v>
      </c>
      <c r="N590" s="16">
        <f t="shared" si="95"/>
        <v>133.689839572193</v>
      </c>
      <c r="O590" s="16">
        <f t="shared" si="96"/>
        <v>411073.861917217</v>
      </c>
      <c r="P590" s="16">
        <f t="shared" si="97"/>
        <v>4058048.43627813</v>
      </c>
      <c r="Q590" s="16">
        <f t="shared" si="98"/>
        <v>3.30985915492958</v>
      </c>
      <c r="R590" s="16">
        <f t="shared" si="99"/>
        <v>0.101298411877567</v>
      </c>
      <c r="S590" s="16">
        <v>12</v>
      </c>
    </row>
    <row r="591" spans="1:19">
      <c r="A591" s="5" t="s">
        <v>491</v>
      </c>
      <c r="B591" s="6">
        <v>60</v>
      </c>
      <c r="C591" s="6">
        <v>2</v>
      </c>
      <c r="D591" s="6">
        <v>180</v>
      </c>
      <c r="E591" s="6">
        <v>404</v>
      </c>
      <c r="F591" s="6">
        <v>85.2</v>
      </c>
      <c r="G591" s="5" t="s">
        <v>265</v>
      </c>
      <c r="H591" s="6">
        <v>427</v>
      </c>
      <c r="I591" s="14">
        <f t="shared" si="90"/>
        <v>2827.43338823081</v>
      </c>
      <c r="J591" s="15">
        <f t="shared" si="91"/>
        <v>364.424747816416</v>
      </c>
      <c r="K591" s="15">
        <f t="shared" si="92"/>
        <v>2463.0086404144</v>
      </c>
      <c r="L591" s="15">
        <f t="shared" si="93"/>
        <v>0.128888888888889</v>
      </c>
      <c r="M591" s="15">
        <f t="shared" si="94"/>
        <v>0.147959183673469</v>
      </c>
      <c r="N591" s="16">
        <f t="shared" si="95"/>
        <v>30</v>
      </c>
      <c r="O591" s="16">
        <f t="shared" si="96"/>
        <v>147227.598117832</v>
      </c>
      <c r="P591" s="16">
        <f t="shared" si="97"/>
        <v>209848.336163307</v>
      </c>
      <c r="Q591" s="16">
        <f t="shared" si="98"/>
        <v>4.74178403755869</v>
      </c>
      <c r="R591" s="16">
        <f t="shared" si="99"/>
        <v>0.701590495353071</v>
      </c>
      <c r="S591" s="16">
        <v>12</v>
      </c>
    </row>
    <row r="592" spans="1:19">
      <c r="A592" s="5" t="s">
        <v>492</v>
      </c>
      <c r="B592" s="6">
        <v>60</v>
      </c>
      <c r="C592" s="6">
        <v>2</v>
      </c>
      <c r="D592" s="6">
        <v>180</v>
      </c>
      <c r="E592" s="6">
        <v>404</v>
      </c>
      <c r="F592" s="6">
        <v>85.2</v>
      </c>
      <c r="G592" s="5" t="s">
        <v>265</v>
      </c>
      <c r="H592" s="6">
        <v>415</v>
      </c>
      <c r="I592" s="14">
        <f t="shared" si="90"/>
        <v>2827.43338823081</v>
      </c>
      <c r="J592" s="15">
        <f t="shared" si="91"/>
        <v>364.424747816416</v>
      </c>
      <c r="K592" s="15">
        <f t="shared" si="92"/>
        <v>2463.0086404144</v>
      </c>
      <c r="L592" s="15">
        <f t="shared" si="93"/>
        <v>0.128888888888889</v>
      </c>
      <c r="M592" s="15">
        <f t="shared" si="94"/>
        <v>0.147959183673469</v>
      </c>
      <c r="N592" s="16">
        <f t="shared" si="95"/>
        <v>30</v>
      </c>
      <c r="O592" s="16">
        <f t="shared" si="96"/>
        <v>147227.598117832</v>
      </c>
      <c r="P592" s="16">
        <f t="shared" si="97"/>
        <v>209848.336163307</v>
      </c>
      <c r="Q592" s="16">
        <f t="shared" si="98"/>
        <v>4.74178403755869</v>
      </c>
      <c r="R592" s="16">
        <f t="shared" si="99"/>
        <v>0.701590495353071</v>
      </c>
      <c r="S592" s="16">
        <v>12</v>
      </c>
    </row>
    <row r="593" spans="1:19">
      <c r="A593" s="5" t="s">
        <v>493</v>
      </c>
      <c r="B593" s="6">
        <v>100</v>
      </c>
      <c r="C593" s="6">
        <v>2</v>
      </c>
      <c r="D593" s="6">
        <v>300</v>
      </c>
      <c r="E593" s="6">
        <v>404</v>
      </c>
      <c r="F593" s="6">
        <v>85.2</v>
      </c>
      <c r="G593" s="5" t="s">
        <v>265</v>
      </c>
      <c r="H593" s="6">
        <v>930</v>
      </c>
      <c r="I593" s="14">
        <f t="shared" si="90"/>
        <v>7853.98163397448</v>
      </c>
      <c r="J593" s="15">
        <f t="shared" si="91"/>
        <v>615.752160103599</v>
      </c>
      <c r="K593" s="15">
        <f t="shared" si="92"/>
        <v>7238.22947387088</v>
      </c>
      <c r="L593" s="15">
        <f t="shared" si="93"/>
        <v>0.0784</v>
      </c>
      <c r="M593" s="15">
        <f t="shared" si="94"/>
        <v>0.0850694444444444</v>
      </c>
      <c r="N593" s="16">
        <f t="shared" si="95"/>
        <v>50</v>
      </c>
      <c r="O593" s="16">
        <f t="shared" si="96"/>
        <v>248763.872681854</v>
      </c>
      <c r="P593" s="16">
        <f t="shared" si="97"/>
        <v>616697.151173799</v>
      </c>
      <c r="Q593" s="16">
        <f t="shared" si="98"/>
        <v>4.74178403755869</v>
      </c>
      <c r="R593" s="16">
        <f t="shared" si="99"/>
        <v>0.403380933750652</v>
      </c>
      <c r="S593" s="16">
        <v>12</v>
      </c>
    </row>
    <row r="594" spans="1:19">
      <c r="A594" s="5" t="s">
        <v>494</v>
      </c>
      <c r="B594" s="6">
        <v>100</v>
      </c>
      <c r="C594" s="6">
        <v>2</v>
      </c>
      <c r="D594" s="6">
        <v>300</v>
      </c>
      <c r="E594" s="6">
        <v>404</v>
      </c>
      <c r="F594" s="6">
        <v>85.2</v>
      </c>
      <c r="G594" s="5" t="s">
        <v>265</v>
      </c>
      <c r="H594" s="6">
        <v>920</v>
      </c>
      <c r="I594" s="14">
        <f t="shared" si="90"/>
        <v>7853.98163397448</v>
      </c>
      <c r="J594" s="15">
        <f t="shared" si="91"/>
        <v>615.752160103599</v>
      </c>
      <c r="K594" s="15">
        <f t="shared" si="92"/>
        <v>7238.22947387088</v>
      </c>
      <c r="L594" s="15">
        <f t="shared" si="93"/>
        <v>0.0784</v>
      </c>
      <c r="M594" s="15">
        <f t="shared" si="94"/>
        <v>0.0850694444444444</v>
      </c>
      <c r="N594" s="16">
        <f t="shared" si="95"/>
        <v>50</v>
      </c>
      <c r="O594" s="16">
        <f t="shared" si="96"/>
        <v>248763.872681854</v>
      </c>
      <c r="P594" s="16">
        <f t="shared" si="97"/>
        <v>616697.151173799</v>
      </c>
      <c r="Q594" s="16">
        <f t="shared" si="98"/>
        <v>4.74178403755869</v>
      </c>
      <c r="R594" s="16">
        <f t="shared" si="99"/>
        <v>0.403380933750652</v>
      </c>
      <c r="S594" s="16">
        <v>12</v>
      </c>
    </row>
    <row r="595" spans="1:19">
      <c r="A595" s="5" t="s">
        <v>495</v>
      </c>
      <c r="B595" s="6">
        <v>150</v>
      </c>
      <c r="C595" s="6">
        <v>2</v>
      </c>
      <c r="D595" s="6">
        <v>450</v>
      </c>
      <c r="E595" s="6">
        <v>404</v>
      </c>
      <c r="F595" s="6">
        <v>85.2</v>
      </c>
      <c r="G595" s="5" t="s">
        <v>265</v>
      </c>
      <c r="H595" s="6">
        <v>1870</v>
      </c>
      <c r="I595" s="14">
        <f t="shared" si="90"/>
        <v>17671.4586764426</v>
      </c>
      <c r="J595" s="15">
        <f t="shared" si="91"/>
        <v>929.911425462579</v>
      </c>
      <c r="K595" s="15">
        <f t="shared" si="92"/>
        <v>16741.54725098</v>
      </c>
      <c r="L595" s="15">
        <f t="shared" si="93"/>
        <v>0.0526222222222222</v>
      </c>
      <c r="M595" s="15">
        <f t="shared" si="94"/>
        <v>0.055545130418465</v>
      </c>
      <c r="N595" s="16">
        <f t="shared" si="95"/>
        <v>75</v>
      </c>
      <c r="O595" s="16">
        <f t="shared" si="96"/>
        <v>375684.215886882</v>
      </c>
      <c r="P595" s="16">
        <f t="shared" si="97"/>
        <v>1426379.8257835</v>
      </c>
      <c r="Q595" s="16">
        <f t="shared" si="98"/>
        <v>4.74178403755869</v>
      </c>
      <c r="R595" s="16">
        <f t="shared" si="99"/>
        <v>0.263383012782393</v>
      </c>
      <c r="S595" s="16">
        <v>12</v>
      </c>
    </row>
    <row r="596" spans="1:19">
      <c r="A596" s="5" t="s">
        <v>496</v>
      </c>
      <c r="B596" s="6">
        <v>150</v>
      </c>
      <c r="C596" s="6">
        <v>2</v>
      </c>
      <c r="D596" s="6">
        <v>450</v>
      </c>
      <c r="E596" s="6">
        <v>404</v>
      </c>
      <c r="F596" s="6">
        <v>85.2</v>
      </c>
      <c r="G596" s="5" t="s">
        <v>265</v>
      </c>
      <c r="H596" s="6">
        <v>1743</v>
      </c>
      <c r="I596" s="14">
        <f t="shared" si="90"/>
        <v>17671.4586764426</v>
      </c>
      <c r="J596" s="15">
        <f t="shared" si="91"/>
        <v>929.911425462579</v>
      </c>
      <c r="K596" s="15">
        <f t="shared" si="92"/>
        <v>16741.54725098</v>
      </c>
      <c r="L596" s="15">
        <f t="shared" si="93"/>
        <v>0.0526222222222222</v>
      </c>
      <c r="M596" s="15">
        <f t="shared" si="94"/>
        <v>0.055545130418465</v>
      </c>
      <c r="N596" s="16">
        <f t="shared" si="95"/>
        <v>75</v>
      </c>
      <c r="O596" s="16">
        <f t="shared" si="96"/>
        <v>375684.215886882</v>
      </c>
      <c r="P596" s="16">
        <f t="shared" si="97"/>
        <v>1426379.8257835</v>
      </c>
      <c r="Q596" s="16">
        <f t="shared" si="98"/>
        <v>4.74178403755869</v>
      </c>
      <c r="R596" s="16">
        <f t="shared" si="99"/>
        <v>0.263383012782393</v>
      </c>
      <c r="S596" s="16">
        <v>12</v>
      </c>
    </row>
    <row r="597" spans="1:19">
      <c r="A597" s="5" t="s">
        <v>497</v>
      </c>
      <c r="B597" s="6">
        <v>200</v>
      </c>
      <c r="C597" s="6">
        <v>2</v>
      </c>
      <c r="D597" s="6">
        <v>600</v>
      </c>
      <c r="E597" s="6">
        <v>404</v>
      </c>
      <c r="F597" s="6">
        <v>85.2</v>
      </c>
      <c r="G597" s="5" t="s">
        <v>265</v>
      </c>
      <c r="H597" s="6">
        <v>3020</v>
      </c>
      <c r="I597" s="14">
        <f t="shared" si="90"/>
        <v>31415.9265358979</v>
      </c>
      <c r="J597" s="15">
        <f t="shared" si="91"/>
        <v>1244.07069082156</v>
      </c>
      <c r="K597" s="15">
        <f t="shared" si="92"/>
        <v>30171.8558450764</v>
      </c>
      <c r="L597" s="15">
        <f t="shared" si="93"/>
        <v>0.0396</v>
      </c>
      <c r="M597" s="15">
        <f t="shared" si="94"/>
        <v>0.0412328196584756</v>
      </c>
      <c r="N597" s="16">
        <f t="shared" si="95"/>
        <v>100</v>
      </c>
      <c r="O597" s="16">
        <f t="shared" si="96"/>
        <v>502604.559091909</v>
      </c>
      <c r="P597" s="16">
        <f t="shared" si="97"/>
        <v>2570642.11800051</v>
      </c>
      <c r="Q597" s="16">
        <f t="shared" si="98"/>
        <v>4.74178403755869</v>
      </c>
      <c r="R597" s="16">
        <f t="shared" si="99"/>
        <v>0.195517126080096</v>
      </c>
      <c r="S597" s="16">
        <v>12</v>
      </c>
    </row>
    <row r="598" spans="1:19">
      <c r="A598" s="5" t="s">
        <v>498</v>
      </c>
      <c r="B598" s="6">
        <v>200</v>
      </c>
      <c r="C598" s="6">
        <v>2</v>
      </c>
      <c r="D598" s="6">
        <v>600</v>
      </c>
      <c r="E598" s="6">
        <v>404</v>
      </c>
      <c r="F598" s="6">
        <v>85.2</v>
      </c>
      <c r="G598" s="5" t="s">
        <v>265</v>
      </c>
      <c r="H598" s="6">
        <v>3011</v>
      </c>
      <c r="I598" s="14">
        <f t="shared" si="90"/>
        <v>31415.9265358979</v>
      </c>
      <c r="J598" s="15">
        <f t="shared" si="91"/>
        <v>1244.07069082156</v>
      </c>
      <c r="K598" s="15">
        <f t="shared" si="92"/>
        <v>30171.8558450764</v>
      </c>
      <c r="L598" s="15">
        <f t="shared" si="93"/>
        <v>0.0396</v>
      </c>
      <c r="M598" s="15">
        <f t="shared" si="94"/>
        <v>0.0412328196584756</v>
      </c>
      <c r="N598" s="16">
        <f t="shared" si="95"/>
        <v>100</v>
      </c>
      <c r="O598" s="16">
        <f t="shared" si="96"/>
        <v>502604.559091909</v>
      </c>
      <c r="P598" s="16">
        <f t="shared" si="97"/>
        <v>2570642.11800051</v>
      </c>
      <c r="Q598" s="16">
        <f t="shared" si="98"/>
        <v>4.74178403755869</v>
      </c>
      <c r="R598" s="16">
        <f t="shared" si="99"/>
        <v>0.195517126080096</v>
      </c>
      <c r="S598" s="16">
        <v>12</v>
      </c>
    </row>
    <row r="599" spans="1:19">
      <c r="A599" s="5" t="s">
        <v>499</v>
      </c>
      <c r="B599" s="6">
        <v>250</v>
      </c>
      <c r="C599" s="6">
        <v>2</v>
      </c>
      <c r="D599" s="6">
        <v>750</v>
      </c>
      <c r="E599" s="6">
        <v>404</v>
      </c>
      <c r="F599" s="6">
        <v>85.2</v>
      </c>
      <c r="G599" s="5" t="s">
        <v>265</v>
      </c>
      <c r="H599" s="6">
        <v>4442</v>
      </c>
      <c r="I599" s="14">
        <f t="shared" si="90"/>
        <v>49087.3852123405</v>
      </c>
      <c r="J599" s="15">
        <f t="shared" si="91"/>
        <v>1558.22995618054</v>
      </c>
      <c r="K599" s="15">
        <f t="shared" si="92"/>
        <v>47529.15525616</v>
      </c>
      <c r="L599" s="15">
        <f t="shared" si="93"/>
        <v>0.031744</v>
      </c>
      <c r="M599" s="15">
        <f t="shared" si="94"/>
        <v>0.0327847180910833</v>
      </c>
      <c r="N599" s="16">
        <f t="shared" si="95"/>
        <v>125</v>
      </c>
      <c r="O599" s="16">
        <f t="shared" si="96"/>
        <v>629524.902296937</v>
      </c>
      <c r="P599" s="16">
        <f t="shared" si="97"/>
        <v>4049484.02782483</v>
      </c>
      <c r="Q599" s="16">
        <f t="shared" si="98"/>
        <v>4.74178403755869</v>
      </c>
      <c r="R599" s="16">
        <f t="shared" si="99"/>
        <v>0.15545805292016</v>
      </c>
      <c r="S599" s="16">
        <v>12</v>
      </c>
    </row>
    <row r="600" spans="1:19">
      <c r="A600" s="5" t="s">
        <v>500</v>
      </c>
      <c r="B600" s="6">
        <v>250</v>
      </c>
      <c r="C600" s="6">
        <v>2</v>
      </c>
      <c r="D600" s="6">
        <v>750</v>
      </c>
      <c r="E600" s="6">
        <v>404</v>
      </c>
      <c r="F600" s="6">
        <v>85.2</v>
      </c>
      <c r="G600" s="5" t="s">
        <v>265</v>
      </c>
      <c r="H600" s="6">
        <v>4550</v>
      </c>
      <c r="I600" s="14">
        <f t="shared" si="90"/>
        <v>49087.3852123405</v>
      </c>
      <c r="J600" s="15">
        <f t="shared" si="91"/>
        <v>1558.22995618054</v>
      </c>
      <c r="K600" s="15">
        <f t="shared" si="92"/>
        <v>47529.15525616</v>
      </c>
      <c r="L600" s="15">
        <f t="shared" si="93"/>
        <v>0.031744</v>
      </c>
      <c r="M600" s="15">
        <f t="shared" si="94"/>
        <v>0.0327847180910833</v>
      </c>
      <c r="N600" s="16">
        <f t="shared" si="95"/>
        <v>125</v>
      </c>
      <c r="O600" s="16">
        <f t="shared" si="96"/>
        <v>629524.902296937</v>
      </c>
      <c r="P600" s="16">
        <f t="shared" si="97"/>
        <v>4049484.02782483</v>
      </c>
      <c r="Q600" s="16">
        <f t="shared" si="98"/>
        <v>4.74178403755869</v>
      </c>
      <c r="R600" s="16">
        <f t="shared" si="99"/>
        <v>0.15545805292016</v>
      </c>
      <c r="S600" s="16">
        <v>12</v>
      </c>
    </row>
    <row r="601" spans="1:19">
      <c r="A601" s="5" t="s">
        <v>501</v>
      </c>
      <c r="B601" s="6">
        <v>60</v>
      </c>
      <c r="C601" s="6">
        <v>2</v>
      </c>
      <c r="D601" s="6">
        <v>180</v>
      </c>
      <c r="E601" s="6">
        <v>404</v>
      </c>
      <c r="F601" s="6">
        <v>90</v>
      </c>
      <c r="G601" s="5" t="s">
        <v>265</v>
      </c>
      <c r="H601" s="6">
        <v>432</v>
      </c>
      <c r="I601" s="14">
        <f t="shared" si="90"/>
        <v>2827.43338823081</v>
      </c>
      <c r="J601" s="15">
        <f t="shared" si="91"/>
        <v>364.424747816416</v>
      </c>
      <c r="K601" s="15">
        <f t="shared" si="92"/>
        <v>2463.0086404144</v>
      </c>
      <c r="L601" s="15">
        <f t="shared" si="93"/>
        <v>0.128888888888889</v>
      </c>
      <c r="M601" s="15">
        <f t="shared" si="94"/>
        <v>0.147959183673469</v>
      </c>
      <c r="N601" s="16">
        <f t="shared" si="95"/>
        <v>30</v>
      </c>
      <c r="O601" s="16">
        <f t="shared" si="96"/>
        <v>147227.598117832</v>
      </c>
      <c r="P601" s="16">
        <f t="shared" si="97"/>
        <v>221670.777637296</v>
      </c>
      <c r="Q601" s="16">
        <f t="shared" si="98"/>
        <v>4.48888888888889</v>
      </c>
      <c r="R601" s="16">
        <f t="shared" si="99"/>
        <v>0.664172335600907</v>
      </c>
      <c r="S601" s="16">
        <v>12</v>
      </c>
    </row>
    <row r="602" spans="1:19">
      <c r="A602" s="5" t="s">
        <v>502</v>
      </c>
      <c r="B602" s="6">
        <v>60</v>
      </c>
      <c r="C602" s="6">
        <v>2</v>
      </c>
      <c r="D602" s="6">
        <v>180</v>
      </c>
      <c r="E602" s="6">
        <v>404</v>
      </c>
      <c r="F602" s="6">
        <v>90</v>
      </c>
      <c r="G602" s="5" t="s">
        <v>265</v>
      </c>
      <c r="H602" s="6">
        <v>437</v>
      </c>
      <c r="I602" s="14">
        <f t="shared" si="90"/>
        <v>2827.43338823081</v>
      </c>
      <c r="J602" s="15">
        <f t="shared" si="91"/>
        <v>364.424747816416</v>
      </c>
      <c r="K602" s="15">
        <f t="shared" si="92"/>
        <v>2463.0086404144</v>
      </c>
      <c r="L602" s="15">
        <f t="shared" si="93"/>
        <v>0.128888888888889</v>
      </c>
      <c r="M602" s="15">
        <f t="shared" si="94"/>
        <v>0.147959183673469</v>
      </c>
      <c r="N602" s="16">
        <f t="shared" si="95"/>
        <v>30</v>
      </c>
      <c r="O602" s="16">
        <f t="shared" si="96"/>
        <v>147227.598117832</v>
      </c>
      <c r="P602" s="16">
        <f t="shared" si="97"/>
        <v>221670.777637296</v>
      </c>
      <c r="Q602" s="16">
        <f t="shared" si="98"/>
        <v>4.48888888888889</v>
      </c>
      <c r="R602" s="16">
        <f t="shared" si="99"/>
        <v>0.664172335600907</v>
      </c>
      <c r="S602" s="16">
        <v>12</v>
      </c>
    </row>
    <row r="603" spans="1:19">
      <c r="A603" s="5" t="s">
        <v>503</v>
      </c>
      <c r="B603" s="6">
        <v>150</v>
      </c>
      <c r="C603" s="6">
        <v>2</v>
      </c>
      <c r="D603" s="6">
        <v>450</v>
      </c>
      <c r="E603" s="6">
        <v>404</v>
      </c>
      <c r="F603" s="6">
        <v>90</v>
      </c>
      <c r="G603" s="5" t="s">
        <v>265</v>
      </c>
      <c r="H603" s="6">
        <v>1980</v>
      </c>
      <c r="I603" s="14">
        <f t="shared" si="90"/>
        <v>17671.4586764426</v>
      </c>
      <c r="J603" s="15">
        <f t="shared" si="91"/>
        <v>929.911425462579</v>
      </c>
      <c r="K603" s="15">
        <f t="shared" si="92"/>
        <v>16741.54725098</v>
      </c>
      <c r="L603" s="15">
        <f t="shared" si="93"/>
        <v>0.0526222222222222</v>
      </c>
      <c r="M603" s="15">
        <f t="shared" si="94"/>
        <v>0.055545130418465</v>
      </c>
      <c r="N603" s="16">
        <f t="shared" si="95"/>
        <v>75</v>
      </c>
      <c r="O603" s="16">
        <f t="shared" si="96"/>
        <v>375684.215886882</v>
      </c>
      <c r="P603" s="16">
        <f t="shared" si="97"/>
        <v>1506739.2525882</v>
      </c>
      <c r="Q603" s="16">
        <f t="shared" si="98"/>
        <v>4.48888888888889</v>
      </c>
      <c r="R603" s="16">
        <f t="shared" si="99"/>
        <v>0.249335918767332</v>
      </c>
      <c r="S603" s="16">
        <v>12</v>
      </c>
    </row>
    <row r="604" spans="1:19">
      <c r="A604" s="5" t="s">
        <v>504</v>
      </c>
      <c r="B604" s="6">
        <v>150</v>
      </c>
      <c r="C604" s="6">
        <v>2</v>
      </c>
      <c r="D604" s="6">
        <v>450</v>
      </c>
      <c r="E604" s="6">
        <v>404</v>
      </c>
      <c r="F604" s="6">
        <v>90</v>
      </c>
      <c r="G604" s="5" t="s">
        <v>265</v>
      </c>
      <c r="H604" s="6">
        <v>1910</v>
      </c>
      <c r="I604" s="14">
        <f t="shared" si="90"/>
        <v>17671.4586764426</v>
      </c>
      <c r="J604" s="15">
        <f t="shared" si="91"/>
        <v>929.911425462579</v>
      </c>
      <c r="K604" s="15">
        <f t="shared" si="92"/>
        <v>16741.54725098</v>
      </c>
      <c r="L604" s="15">
        <f t="shared" si="93"/>
        <v>0.0526222222222222</v>
      </c>
      <c r="M604" s="15">
        <f t="shared" si="94"/>
        <v>0.055545130418465</v>
      </c>
      <c r="N604" s="16">
        <f t="shared" si="95"/>
        <v>75</v>
      </c>
      <c r="O604" s="16">
        <f t="shared" si="96"/>
        <v>375684.215886882</v>
      </c>
      <c r="P604" s="16">
        <f t="shared" si="97"/>
        <v>1506739.2525882</v>
      </c>
      <c r="Q604" s="16">
        <f t="shared" si="98"/>
        <v>4.48888888888889</v>
      </c>
      <c r="R604" s="16">
        <f t="shared" si="99"/>
        <v>0.249335918767332</v>
      </c>
      <c r="S604" s="16">
        <v>12</v>
      </c>
    </row>
    <row r="605" spans="1:19">
      <c r="A605" s="5" t="s">
        <v>505</v>
      </c>
      <c r="B605" s="6">
        <v>250</v>
      </c>
      <c r="C605" s="6">
        <v>2</v>
      </c>
      <c r="D605" s="6">
        <v>750</v>
      </c>
      <c r="E605" s="6">
        <v>404</v>
      </c>
      <c r="F605" s="6">
        <v>90</v>
      </c>
      <c r="G605" s="5" t="s">
        <v>265</v>
      </c>
      <c r="H605" s="6">
        <v>4720</v>
      </c>
      <c r="I605" s="14">
        <f t="shared" si="90"/>
        <v>49087.3852123405</v>
      </c>
      <c r="J605" s="15">
        <f t="shared" si="91"/>
        <v>1558.22995618054</v>
      </c>
      <c r="K605" s="15">
        <f t="shared" si="92"/>
        <v>47529.15525616</v>
      </c>
      <c r="L605" s="15">
        <f t="shared" si="93"/>
        <v>0.031744</v>
      </c>
      <c r="M605" s="15">
        <f t="shared" si="94"/>
        <v>0.0327847180910833</v>
      </c>
      <c r="N605" s="16">
        <f t="shared" si="95"/>
        <v>125</v>
      </c>
      <c r="O605" s="16">
        <f t="shared" si="96"/>
        <v>629524.902296937</v>
      </c>
      <c r="P605" s="16">
        <f t="shared" si="97"/>
        <v>4277623.9730544</v>
      </c>
      <c r="Q605" s="16">
        <f t="shared" si="98"/>
        <v>4.48888888888889</v>
      </c>
      <c r="R605" s="16">
        <f t="shared" si="99"/>
        <v>0.147166956764419</v>
      </c>
      <c r="S605" s="16">
        <v>12</v>
      </c>
    </row>
    <row r="606" spans="1:19">
      <c r="A606" s="5" t="s">
        <v>506</v>
      </c>
      <c r="B606" s="6">
        <v>250</v>
      </c>
      <c r="C606" s="6">
        <v>2</v>
      </c>
      <c r="D606" s="6">
        <v>750</v>
      </c>
      <c r="E606" s="6">
        <v>404</v>
      </c>
      <c r="F606" s="6">
        <v>90</v>
      </c>
      <c r="G606" s="5" t="s">
        <v>265</v>
      </c>
      <c r="H606" s="6">
        <v>4800</v>
      </c>
      <c r="I606" s="14">
        <f t="shared" si="90"/>
        <v>49087.3852123405</v>
      </c>
      <c r="J606" s="15">
        <f t="shared" si="91"/>
        <v>1558.22995618054</v>
      </c>
      <c r="K606" s="15">
        <f t="shared" si="92"/>
        <v>47529.15525616</v>
      </c>
      <c r="L606" s="15">
        <f t="shared" si="93"/>
        <v>0.031744</v>
      </c>
      <c r="M606" s="15">
        <f t="shared" si="94"/>
        <v>0.0327847180910833</v>
      </c>
      <c r="N606" s="16">
        <f t="shared" si="95"/>
        <v>125</v>
      </c>
      <c r="O606" s="16">
        <f t="shared" si="96"/>
        <v>629524.902296937</v>
      </c>
      <c r="P606" s="16">
        <f t="shared" si="97"/>
        <v>4277623.9730544</v>
      </c>
      <c r="Q606" s="16">
        <f t="shared" si="98"/>
        <v>4.48888888888889</v>
      </c>
      <c r="R606" s="16">
        <f t="shared" si="99"/>
        <v>0.147166956764419</v>
      </c>
      <c r="S606" s="16">
        <v>12</v>
      </c>
    </row>
    <row r="607" spans="1:19">
      <c r="A607" s="5" t="s">
        <v>507</v>
      </c>
      <c r="B607" s="6">
        <v>151</v>
      </c>
      <c r="C607" s="6">
        <v>3.2</v>
      </c>
      <c r="D607" s="6">
        <v>620</v>
      </c>
      <c r="E607" s="6">
        <v>265</v>
      </c>
      <c r="F607" s="6">
        <v>25.4</v>
      </c>
      <c r="G607" s="5" t="s">
        <v>337</v>
      </c>
      <c r="H607" s="6">
        <v>1129</v>
      </c>
      <c r="I607" s="14">
        <f t="shared" si="90"/>
        <v>17907.8635236252</v>
      </c>
      <c r="J607" s="15">
        <f t="shared" si="91"/>
        <v>1485.84766144183</v>
      </c>
      <c r="K607" s="15">
        <f t="shared" si="92"/>
        <v>16422.0158621834</v>
      </c>
      <c r="L607" s="15">
        <f t="shared" si="93"/>
        <v>0.0829717994824788</v>
      </c>
      <c r="M607" s="15">
        <f t="shared" si="94"/>
        <v>0.0904790053737214</v>
      </c>
      <c r="N607" s="16">
        <f t="shared" si="95"/>
        <v>47.1875</v>
      </c>
      <c r="O607" s="16">
        <f t="shared" si="96"/>
        <v>393749.630282085</v>
      </c>
      <c r="P607" s="16">
        <f t="shared" si="97"/>
        <v>417119.202899458</v>
      </c>
      <c r="Q607" s="16">
        <f t="shared" si="98"/>
        <v>10.4330708661417</v>
      </c>
      <c r="R607" s="16">
        <f t="shared" si="99"/>
        <v>0.943973874962054</v>
      </c>
      <c r="S607" s="16">
        <v>16.4238410596026</v>
      </c>
    </row>
    <row r="608" spans="1:19">
      <c r="A608" s="5" t="s">
        <v>508</v>
      </c>
      <c r="B608" s="6">
        <v>150</v>
      </c>
      <c r="C608" s="6">
        <v>3.2</v>
      </c>
      <c r="D608" s="6">
        <v>620</v>
      </c>
      <c r="E608" s="6">
        <v>265</v>
      </c>
      <c r="F608" s="6">
        <v>25.4</v>
      </c>
      <c r="G608" s="5" t="s">
        <v>337</v>
      </c>
      <c r="H608" s="6">
        <v>1123</v>
      </c>
      <c r="I608" s="14">
        <f t="shared" si="90"/>
        <v>17671.4586764426</v>
      </c>
      <c r="J608" s="15">
        <f t="shared" si="91"/>
        <v>1475.79456495034</v>
      </c>
      <c r="K608" s="15">
        <f t="shared" si="92"/>
        <v>16195.6641114922</v>
      </c>
      <c r="L608" s="15">
        <f t="shared" si="93"/>
        <v>0.0835128888888889</v>
      </c>
      <c r="M608" s="15">
        <f t="shared" si="94"/>
        <v>0.0911228187242496</v>
      </c>
      <c r="N608" s="16">
        <f t="shared" si="95"/>
        <v>46.875</v>
      </c>
      <c r="O608" s="16">
        <f t="shared" si="96"/>
        <v>391085.559711841</v>
      </c>
      <c r="P608" s="16">
        <f t="shared" si="97"/>
        <v>411369.868431903</v>
      </c>
      <c r="Q608" s="16">
        <f t="shared" si="98"/>
        <v>10.4330708661417</v>
      </c>
      <c r="R608" s="16">
        <f t="shared" si="99"/>
        <v>0.950690825272683</v>
      </c>
      <c r="S608" s="16">
        <v>16.5333333333333</v>
      </c>
    </row>
    <row r="609" s="1" customFormat="1" spans="1:19">
      <c r="A609" s="5" t="s">
        <v>509</v>
      </c>
      <c r="B609" s="6">
        <v>199</v>
      </c>
      <c r="C609" s="6">
        <v>3.2</v>
      </c>
      <c r="D609" s="6">
        <v>835</v>
      </c>
      <c r="E609" s="6">
        <v>265</v>
      </c>
      <c r="F609" s="6">
        <v>25.4</v>
      </c>
      <c r="G609" s="5" t="s">
        <v>337</v>
      </c>
      <c r="H609" s="6">
        <v>1535</v>
      </c>
      <c r="I609" s="14">
        <f t="shared" si="90"/>
        <v>31102.5526687023</v>
      </c>
      <c r="J609" s="15">
        <f t="shared" si="91"/>
        <v>1968.39629303322</v>
      </c>
      <c r="K609" s="15">
        <f t="shared" si="92"/>
        <v>29134.1563756691</v>
      </c>
      <c r="L609" s="15">
        <f t="shared" si="93"/>
        <v>0.0632872907249818</v>
      </c>
      <c r="M609" s="15">
        <f t="shared" si="94"/>
        <v>0.0675631814304771</v>
      </c>
      <c r="N609" s="16">
        <f t="shared" si="95"/>
        <v>62.1875</v>
      </c>
      <c r="O609" s="16">
        <f t="shared" si="96"/>
        <v>521625.017653805</v>
      </c>
      <c r="P609" s="16">
        <f t="shared" si="97"/>
        <v>740007.571941996</v>
      </c>
      <c r="Q609" s="16">
        <f t="shared" si="98"/>
        <v>10.4330708661417</v>
      </c>
      <c r="R609" s="16">
        <f t="shared" si="99"/>
        <v>0.704891459806159</v>
      </c>
      <c r="S609" s="16">
        <v>16.78391959799</v>
      </c>
    </row>
    <row r="610" s="1" customFormat="1" spans="1:19">
      <c r="A610" s="5" t="s">
        <v>510</v>
      </c>
      <c r="B610" s="6">
        <v>198</v>
      </c>
      <c r="C610" s="6">
        <v>3.2</v>
      </c>
      <c r="D610" s="6">
        <v>835</v>
      </c>
      <c r="E610" s="6">
        <v>265</v>
      </c>
      <c r="F610" s="6">
        <v>25.4</v>
      </c>
      <c r="G610" s="5" t="s">
        <v>337</v>
      </c>
      <c r="H610" s="6">
        <v>1560</v>
      </c>
      <c r="I610" s="14">
        <f t="shared" si="90"/>
        <v>30790.7495978336</v>
      </c>
      <c r="J610" s="15">
        <f t="shared" si="91"/>
        <v>1958.34319654174</v>
      </c>
      <c r="K610" s="15">
        <f t="shared" si="92"/>
        <v>28832.4064012918</v>
      </c>
      <c r="L610" s="15">
        <f t="shared" si="93"/>
        <v>0.0636016732986431</v>
      </c>
      <c r="M610" s="15">
        <f t="shared" si="94"/>
        <v>0.0679216007601083</v>
      </c>
      <c r="N610" s="16">
        <f t="shared" si="95"/>
        <v>61.875</v>
      </c>
      <c r="O610" s="16">
        <f t="shared" si="96"/>
        <v>518960.94708356</v>
      </c>
      <c r="P610" s="16">
        <f t="shared" si="97"/>
        <v>732343.122592812</v>
      </c>
      <c r="Q610" s="16">
        <f t="shared" si="98"/>
        <v>10.4330708661417</v>
      </c>
      <c r="R610" s="16">
        <f t="shared" si="99"/>
        <v>0.708630874071996</v>
      </c>
      <c r="S610" s="16">
        <v>16.8686868686869</v>
      </c>
    </row>
    <row r="611" s="1" customFormat="1" spans="1:19">
      <c r="A611" s="5" t="s">
        <v>511</v>
      </c>
      <c r="B611" s="6">
        <v>251</v>
      </c>
      <c r="C611" s="6">
        <v>3.2</v>
      </c>
      <c r="D611" s="6">
        <v>1050</v>
      </c>
      <c r="E611" s="6">
        <v>265</v>
      </c>
      <c r="F611" s="6">
        <v>25.4</v>
      </c>
      <c r="G611" s="5" t="s">
        <v>337</v>
      </c>
      <c r="H611" s="6">
        <v>2033</v>
      </c>
      <c r="I611" s="14">
        <f t="shared" si="90"/>
        <v>49480.8696922026</v>
      </c>
      <c r="J611" s="15">
        <f t="shared" si="91"/>
        <v>2491.15731059057</v>
      </c>
      <c r="K611" s="15">
        <f t="shared" si="92"/>
        <v>46989.7123816121</v>
      </c>
      <c r="L611" s="15">
        <f t="shared" si="93"/>
        <v>0.0503458675259124</v>
      </c>
      <c r="M611" s="15">
        <f t="shared" si="94"/>
        <v>0.0530149512378246</v>
      </c>
      <c r="N611" s="16">
        <f t="shared" si="95"/>
        <v>78.4375</v>
      </c>
      <c r="O611" s="16">
        <f t="shared" si="96"/>
        <v>660156.6873065</v>
      </c>
      <c r="P611" s="16">
        <f t="shared" si="97"/>
        <v>1193538.69449295</v>
      </c>
      <c r="Q611" s="16">
        <f t="shared" si="98"/>
        <v>10.4330708661417</v>
      </c>
      <c r="R611" s="16">
        <f t="shared" si="99"/>
        <v>0.553108743229272</v>
      </c>
      <c r="S611" s="16">
        <v>16.7330677290837</v>
      </c>
    </row>
    <row r="612" spans="1:19">
      <c r="A612" s="5" t="s">
        <v>512</v>
      </c>
      <c r="B612" s="6">
        <v>300</v>
      </c>
      <c r="C612" s="6">
        <v>3.2</v>
      </c>
      <c r="D612" s="6">
        <v>1250</v>
      </c>
      <c r="E612" s="6">
        <v>265</v>
      </c>
      <c r="F612" s="6">
        <v>25.4</v>
      </c>
      <c r="G612" s="5" t="s">
        <v>337</v>
      </c>
      <c r="H612" s="6">
        <v>2012</v>
      </c>
      <c r="I612" s="14">
        <f t="shared" si="90"/>
        <v>70685.8347057704</v>
      </c>
      <c r="J612" s="15">
        <f t="shared" si="91"/>
        <v>2983.75903867344</v>
      </c>
      <c r="K612" s="15">
        <f t="shared" si="92"/>
        <v>67702.0756670969</v>
      </c>
      <c r="L612" s="15">
        <f t="shared" si="93"/>
        <v>0.0422115555555555</v>
      </c>
      <c r="M612" s="15">
        <f t="shared" si="94"/>
        <v>0.0440718989672504</v>
      </c>
      <c r="N612" s="16">
        <f t="shared" si="95"/>
        <v>93.75</v>
      </c>
      <c r="O612" s="16">
        <f t="shared" si="96"/>
        <v>790696.145248461</v>
      </c>
      <c r="P612" s="16">
        <f t="shared" si="97"/>
        <v>1719632.72194426</v>
      </c>
      <c r="Q612" s="16">
        <f t="shared" si="98"/>
        <v>10.4330708661417</v>
      </c>
      <c r="R612" s="16">
        <f t="shared" si="99"/>
        <v>0.459805245130762</v>
      </c>
      <c r="S612" s="16">
        <v>16.6666666666667</v>
      </c>
    </row>
    <row r="613" spans="1:19">
      <c r="A613" s="5" t="s">
        <v>513</v>
      </c>
      <c r="B613" s="6">
        <v>350</v>
      </c>
      <c r="C613" s="6">
        <v>3.2</v>
      </c>
      <c r="D613" s="6">
        <v>1468</v>
      </c>
      <c r="E613" s="6">
        <v>265</v>
      </c>
      <c r="F613" s="6">
        <v>25.4</v>
      </c>
      <c r="G613" s="5" t="s">
        <v>337</v>
      </c>
      <c r="H613" s="6">
        <v>3000</v>
      </c>
      <c r="I613" s="14">
        <f t="shared" si="90"/>
        <v>96211.2750161874</v>
      </c>
      <c r="J613" s="15">
        <f t="shared" si="91"/>
        <v>3486.41386324779</v>
      </c>
      <c r="K613" s="15">
        <f t="shared" si="92"/>
        <v>92724.8611529396</v>
      </c>
      <c r="L613" s="15">
        <f t="shared" si="93"/>
        <v>0.0362370612244896</v>
      </c>
      <c r="M613" s="15">
        <f t="shared" si="94"/>
        <v>0.0375995587364356</v>
      </c>
      <c r="N613" s="16">
        <f t="shared" si="95"/>
        <v>109.375</v>
      </c>
      <c r="O613" s="16">
        <f t="shared" si="96"/>
        <v>923899.673760665</v>
      </c>
      <c r="P613" s="16">
        <f t="shared" si="97"/>
        <v>2355211.47328467</v>
      </c>
      <c r="Q613" s="16">
        <f t="shared" si="98"/>
        <v>10.4330708661417</v>
      </c>
      <c r="R613" s="16">
        <f t="shared" si="99"/>
        <v>0.392278860832892</v>
      </c>
      <c r="S613" s="16">
        <v>16.7771428571429</v>
      </c>
    </row>
    <row r="614" spans="1:19">
      <c r="A614" s="5" t="s">
        <v>514</v>
      </c>
      <c r="B614" s="6">
        <v>401</v>
      </c>
      <c r="C614" s="6">
        <v>3.2</v>
      </c>
      <c r="D614" s="6">
        <v>1680</v>
      </c>
      <c r="E614" s="6">
        <v>265</v>
      </c>
      <c r="F614" s="6">
        <v>25.4</v>
      </c>
      <c r="G614" s="5" t="s">
        <v>337</v>
      </c>
      <c r="H614" s="6">
        <v>3680</v>
      </c>
      <c r="I614" s="14">
        <f t="shared" si="90"/>
        <v>126292.810072473</v>
      </c>
      <c r="J614" s="15">
        <f t="shared" si="91"/>
        <v>3999.12178431366</v>
      </c>
      <c r="K614" s="15">
        <f t="shared" si="92"/>
        <v>122293.688288159</v>
      </c>
      <c r="L614" s="15">
        <f t="shared" si="93"/>
        <v>0.031665474717197</v>
      </c>
      <c r="M614" s="15">
        <f t="shared" si="94"/>
        <v>0.0327009663400663</v>
      </c>
      <c r="N614" s="16">
        <f t="shared" si="95"/>
        <v>125.3125</v>
      </c>
      <c r="O614" s="16">
        <f t="shared" si="96"/>
        <v>1059767.27284312</v>
      </c>
      <c r="P614" s="16">
        <f t="shared" si="97"/>
        <v>3106259.68251925</v>
      </c>
      <c r="Q614" s="16">
        <f t="shared" si="98"/>
        <v>10.4330708661417</v>
      </c>
      <c r="R614" s="16">
        <f t="shared" si="99"/>
        <v>0.341171499217227</v>
      </c>
      <c r="S614" s="16">
        <v>16.7581047381546</v>
      </c>
    </row>
    <row r="615" spans="1:19">
      <c r="A615" s="5" t="s">
        <v>515</v>
      </c>
      <c r="B615" s="6">
        <v>450</v>
      </c>
      <c r="C615" s="6">
        <v>3.2</v>
      </c>
      <c r="D615" s="6">
        <v>1888</v>
      </c>
      <c r="E615" s="6">
        <v>265</v>
      </c>
      <c r="F615" s="6">
        <v>25.4</v>
      </c>
      <c r="G615" s="5" t="s">
        <v>337</v>
      </c>
      <c r="H615" s="6">
        <v>4540</v>
      </c>
      <c r="I615" s="14">
        <f t="shared" si="90"/>
        <v>159043.128087983</v>
      </c>
      <c r="J615" s="15">
        <f t="shared" si="91"/>
        <v>4491.72351239653</v>
      </c>
      <c r="K615" s="15">
        <f t="shared" si="92"/>
        <v>154551.404575587</v>
      </c>
      <c r="L615" s="15">
        <f t="shared" si="93"/>
        <v>0.0282421728395061</v>
      </c>
      <c r="M615" s="15">
        <f t="shared" si="94"/>
        <v>0.0290629743853266</v>
      </c>
      <c r="N615" s="16">
        <f t="shared" si="95"/>
        <v>140.625</v>
      </c>
      <c r="O615" s="16">
        <f t="shared" si="96"/>
        <v>1190306.73078508</v>
      </c>
      <c r="P615" s="16">
        <f t="shared" si="97"/>
        <v>3925605.6762199</v>
      </c>
      <c r="Q615" s="16">
        <f t="shared" si="98"/>
        <v>10.4330708661417</v>
      </c>
      <c r="R615" s="16">
        <f t="shared" si="99"/>
        <v>0.303216071342974</v>
      </c>
      <c r="S615" s="16">
        <v>16.7822222222222</v>
      </c>
    </row>
    <row r="616" spans="1:19">
      <c r="A616" s="5" t="s">
        <v>516</v>
      </c>
      <c r="B616" s="6">
        <v>127</v>
      </c>
      <c r="C616" s="6">
        <v>4.2</v>
      </c>
      <c r="D616" s="6">
        <v>480</v>
      </c>
      <c r="E616" s="6">
        <v>349</v>
      </c>
      <c r="F616" s="6">
        <v>84.2</v>
      </c>
      <c r="G616" s="5" t="s">
        <v>20</v>
      </c>
      <c r="H616" s="6">
        <v>2205</v>
      </c>
      <c r="I616" s="14">
        <f t="shared" si="90"/>
        <v>12667.6869774374</v>
      </c>
      <c r="J616" s="15">
        <f t="shared" si="91"/>
        <v>1620.30782701547</v>
      </c>
      <c r="K616" s="15">
        <f t="shared" si="92"/>
        <v>11047.379150422</v>
      </c>
      <c r="L616" s="15">
        <f t="shared" si="93"/>
        <v>0.127908735817472</v>
      </c>
      <c r="M616" s="15">
        <f t="shared" si="94"/>
        <v>0.146668979579069</v>
      </c>
      <c r="N616" s="16">
        <f t="shared" si="95"/>
        <v>30.2380952380952</v>
      </c>
      <c r="O616" s="16">
        <f t="shared" si="96"/>
        <v>565487.4316284</v>
      </c>
      <c r="P616" s="16">
        <f t="shared" si="97"/>
        <v>930189.32446553</v>
      </c>
      <c r="Q616" s="16">
        <f t="shared" si="98"/>
        <v>4.14489311163895</v>
      </c>
      <c r="R616" s="16">
        <f t="shared" si="99"/>
        <v>0.607927243148398</v>
      </c>
      <c r="S616" s="16">
        <v>15.1181102362205</v>
      </c>
    </row>
    <row r="617" spans="1:19">
      <c r="A617" s="5" t="s">
        <v>517</v>
      </c>
      <c r="B617" s="6">
        <v>127</v>
      </c>
      <c r="C617" s="6">
        <v>4.2</v>
      </c>
      <c r="D617" s="6">
        <v>480</v>
      </c>
      <c r="E617" s="6">
        <v>349</v>
      </c>
      <c r="F617" s="6">
        <v>84.2</v>
      </c>
      <c r="G617" s="5" t="s">
        <v>20</v>
      </c>
      <c r="H617" s="6">
        <v>2245</v>
      </c>
      <c r="I617" s="14">
        <f t="shared" si="90"/>
        <v>12667.6869774374</v>
      </c>
      <c r="J617" s="15">
        <f t="shared" si="91"/>
        <v>1620.30782701547</v>
      </c>
      <c r="K617" s="15">
        <f t="shared" si="92"/>
        <v>11047.379150422</v>
      </c>
      <c r="L617" s="15">
        <f t="shared" si="93"/>
        <v>0.127908735817472</v>
      </c>
      <c r="M617" s="15">
        <f t="shared" si="94"/>
        <v>0.146668979579069</v>
      </c>
      <c r="N617" s="16">
        <f t="shared" si="95"/>
        <v>30.2380952380952</v>
      </c>
      <c r="O617" s="16">
        <f t="shared" si="96"/>
        <v>565487.4316284</v>
      </c>
      <c r="P617" s="16">
        <f t="shared" si="97"/>
        <v>930189.32446553</v>
      </c>
      <c r="Q617" s="16">
        <f t="shared" si="98"/>
        <v>4.14489311163895</v>
      </c>
      <c r="R617" s="16">
        <f t="shared" si="99"/>
        <v>0.607927243148398</v>
      </c>
      <c r="S617" s="16">
        <v>15.1181102362205</v>
      </c>
    </row>
    <row r="618" spans="1:19">
      <c r="A618" s="5" t="s">
        <v>518</v>
      </c>
      <c r="B618" s="6">
        <v>127</v>
      </c>
      <c r="C618" s="6">
        <v>4.2</v>
      </c>
      <c r="D618" s="6">
        <v>480</v>
      </c>
      <c r="E618" s="6">
        <v>349</v>
      </c>
      <c r="F618" s="6">
        <v>84.2</v>
      </c>
      <c r="G618" s="5" t="s">
        <v>20</v>
      </c>
      <c r="H618" s="6">
        <v>2254</v>
      </c>
      <c r="I618" s="14">
        <f t="shared" si="90"/>
        <v>12667.6869774374</v>
      </c>
      <c r="J618" s="15">
        <f t="shared" si="91"/>
        <v>1620.30782701547</v>
      </c>
      <c r="K618" s="15">
        <f t="shared" si="92"/>
        <v>11047.379150422</v>
      </c>
      <c r="L618" s="15">
        <f t="shared" si="93"/>
        <v>0.127908735817472</v>
      </c>
      <c r="M618" s="15">
        <f t="shared" si="94"/>
        <v>0.146668979579069</v>
      </c>
      <c r="N618" s="16">
        <f t="shared" si="95"/>
        <v>30.2380952380952</v>
      </c>
      <c r="O618" s="16">
        <f t="shared" si="96"/>
        <v>565487.4316284</v>
      </c>
      <c r="P618" s="16">
        <f t="shared" si="97"/>
        <v>930189.32446553</v>
      </c>
      <c r="Q618" s="16">
        <f t="shared" si="98"/>
        <v>4.14489311163895</v>
      </c>
      <c r="R618" s="16">
        <f t="shared" si="99"/>
        <v>0.607927243148398</v>
      </c>
      <c r="S618" s="16">
        <v>15.1181102362205</v>
      </c>
    </row>
    <row r="619" spans="1:19">
      <c r="A619" s="5" t="s">
        <v>519</v>
      </c>
      <c r="B619" s="6">
        <v>133</v>
      </c>
      <c r="C619" s="6">
        <v>5.8</v>
      </c>
      <c r="D619" s="6">
        <v>480</v>
      </c>
      <c r="E619" s="6">
        <v>427</v>
      </c>
      <c r="F619" s="6">
        <v>84.2</v>
      </c>
      <c r="G619" s="5" t="s">
        <v>20</v>
      </c>
      <c r="H619" s="6">
        <v>3112</v>
      </c>
      <c r="I619" s="14">
        <f t="shared" si="90"/>
        <v>13892.9081123375</v>
      </c>
      <c r="J619" s="15">
        <f t="shared" si="91"/>
        <v>2317.7413961124</v>
      </c>
      <c r="K619" s="15">
        <f t="shared" si="92"/>
        <v>11575.1667162251</v>
      </c>
      <c r="L619" s="15">
        <f t="shared" si="93"/>
        <v>0.166829102832269</v>
      </c>
      <c r="M619" s="15">
        <f t="shared" si="94"/>
        <v>0.200233953681513</v>
      </c>
      <c r="N619" s="16">
        <f t="shared" si="95"/>
        <v>22.9310344827586</v>
      </c>
      <c r="O619" s="16">
        <f t="shared" si="96"/>
        <v>989675.576139997</v>
      </c>
      <c r="P619" s="16">
        <f t="shared" si="97"/>
        <v>974629.03750615</v>
      </c>
      <c r="Q619" s="16">
        <f t="shared" si="98"/>
        <v>5.07125890736342</v>
      </c>
      <c r="R619" s="16">
        <f t="shared" si="99"/>
        <v>1.01543822116397</v>
      </c>
      <c r="S619" s="16">
        <v>14.4360902255639</v>
      </c>
    </row>
    <row r="620" spans="1:19">
      <c r="A620" s="5" t="s">
        <v>520</v>
      </c>
      <c r="B620" s="6">
        <v>133</v>
      </c>
      <c r="C620" s="6">
        <v>5.8</v>
      </c>
      <c r="D620" s="6">
        <v>480</v>
      </c>
      <c r="E620" s="6">
        <v>427</v>
      </c>
      <c r="F620" s="6">
        <v>84.2</v>
      </c>
      <c r="G620" s="5" t="s">
        <v>20</v>
      </c>
      <c r="H620" s="6">
        <v>3187</v>
      </c>
      <c r="I620" s="14">
        <f t="shared" si="90"/>
        <v>13892.9081123375</v>
      </c>
      <c r="J620" s="15">
        <f t="shared" si="91"/>
        <v>2317.7413961124</v>
      </c>
      <c r="K620" s="15">
        <f t="shared" si="92"/>
        <v>11575.1667162251</v>
      </c>
      <c r="L620" s="15">
        <f t="shared" si="93"/>
        <v>0.166829102832269</v>
      </c>
      <c r="M620" s="15">
        <f t="shared" si="94"/>
        <v>0.200233953681513</v>
      </c>
      <c r="N620" s="16">
        <f t="shared" si="95"/>
        <v>22.9310344827586</v>
      </c>
      <c r="O620" s="16">
        <f t="shared" si="96"/>
        <v>989675.576139997</v>
      </c>
      <c r="P620" s="16">
        <f t="shared" si="97"/>
        <v>974629.03750615</v>
      </c>
      <c r="Q620" s="16">
        <f t="shared" si="98"/>
        <v>5.07125890736342</v>
      </c>
      <c r="R620" s="16">
        <f t="shared" si="99"/>
        <v>1.01543822116397</v>
      </c>
      <c r="S620" s="16">
        <v>14.4360902255639</v>
      </c>
    </row>
    <row r="621" spans="1:19">
      <c r="A621" s="5" t="s">
        <v>521</v>
      </c>
      <c r="B621" s="6">
        <v>133</v>
      </c>
      <c r="C621" s="6">
        <v>5.8</v>
      </c>
      <c r="D621" s="6">
        <v>480</v>
      </c>
      <c r="E621" s="6">
        <v>427</v>
      </c>
      <c r="F621" s="6">
        <v>84.2</v>
      </c>
      <c r="G621" s="5" t="s">
        <v>20</v>
      </c>
      <c r="H621" s="6">
        <v>3193</v>
      </c>
      <c r="I621" s="14">
        <f t="shared" si="90"/>
        <v>13892.9081123375</v>
      </c>
      <c r="J621" s="15">
        <f t="shared" si="91"/>
        <v>2317.7413961124</v>
      </c>
      <c r="K621" s="15">
        <f t="shared" si="92"/>
        <v>11575.1667162251</v>
      </c>
      <c r="L621" s="15">
        <f t="shared" si="93"/>
        <v>0.166829102832269</v>
      </c>
      <c r="M621" s="15">
        <f t="shared" si="94"/>
        <v>0.200233953681513</v>
      </c>
      <c r="N621" s="16">
        <f t="shared" si="95"/>
        <v>22.9310344827586</v>
      </c>
      <c r="O621" s="16">
        <f t="shared" si="96"/>
        <v>989675.576139997</v>
      </c>
      <c r="P621" s="16">
        <f t="shared" si="97"/>
        <v>974629.03750615</v>
      </c>
      <c r="Q621" s="16">
        <f t="shared" si="98"/>
        <v>5.07125890736342</v>
      </c>
      <c r="R621" s="16">
        <f t="shared" si="99"/>
        <v>1.01543822116397</v>
      </c>
      <c r="S621" s="16">
        <v>14.4360902255639</v>
      </c>
    </row>
    <row r="622" spans="1:19">
      <c r="A622" s="5" t="s">
        <v>522</v>
      </c>
      <c r="B622" s="6">
        <v>203</v>
      </c>
      <c r="C622" s="6">
        <v>9.6</v>
      </c>
      <c r="D622" s="6">
        <v>800</v>
      </c>
      <c r="E622" s="6">
        <v>352</v>
      </c>
      <c r="F622" s="6">
        <v>84.2</v>
      </c>
      <c r="G622" s="5" t="s">
        <v>20</v>
      </c>
      <c r="H622" s="6">
        <v>5988</v>
      </c>
      <c r="I622" s="14">
        <f t="shared" si="90"/>
        <v>32365.4729154454</v>
      </c>
      <c r="J622" s="15">
        <f t="shared" si="91"/>
        <v>5832.80658436095</v>
      </c>
      <c r="K622" s="15">
        <f t="shared" si="92"/>
        <v>26532.6663310845</v>
      </c>
      <c r="L622" s="15">
        <f t="shared" si="93"/>
        <v>0.180216942900823</v>
      </c>
      <c r="M622" s="15">
        <f t="shared" si="94"/>
        <v>0.219834920153784</v>
      </c>
      <c r="N622" s="16">
        <f t="shared" si="95"/>
        <v>21.1458333333333</v>
      </c>
      <c r="O622" s="16">
        <f t="shared" si="96"/>
        <v>2053147.91769506</v>
      </c>
      <c r="P622" s="16">
        <f t="shared" si="97"/>
        <v>2234050.50507731</v>
      </c>
      <c r="Q622" s="16">
        <f t="shared" si="98"/>
        <v>4.18052256532066</v>
      </c>
      <c r="R622" s="16">
        <f t="shared" si="99"/>
        <v>0.91902484434836</v>
      </c>
      <c r="S622" s="16">
        <v>15.7635467980296</v>
      </c>
    </row>
    <row r="623" spans="1:19">
      <c r="A623" s="5" t="s">
        <v>523</v>
      </c>
      <c r="B623" s="6">
        <v>203</v>
      </c>
      <c r="C623" s="6">
        <v>9.6</v>
      </c>
      <c r="D623" s="6">
        <v>800</v>
      </c>
      <c r="E623" s="6">
        <v>352</v>
      </c>
      <c r="F623" s="6">
        <v>84.2</v>
      </c>
      <c r="G623" s="5" t="s">
        <v>20</v>
      </c>
      <c r="H623" s="6">
        <v>5906</v>
      </c>
      <c r="I623" s="14">
        <f t="shared" si="90"/>
        <v>32365.4729154454</v>
      </c>
      <c r="J623" s="15">
        <f t="shared" si="91"/>
        <v>5832.80658436095</v>
      </c>
      <c r="K623" s="15">
        <f t="shared" si="92"/>
        <v>26532.6663310845</v>
      </c>
      <c r="L623" s="15">
        <f t="shared" si="93"/>
        <v>0.180216942900823</v>
      </c>
      <c r="M623" s="15">
        <f t="shared" si="94"/>
        <v>0.219834920153784</v>
      </c>
      <c r="N623" s="16">
        <f t="shared" si="95"/>
        <v>21.1458333333333</v>
      </c>
      <c r="O623" s="16">
        <f t="shared" si="96"/>
        <v>2053147.91769506</v>
      </c>
      <c r="P623" s="16">
        <f t="shared" si="97"/>
        <v>2234050.50507731</v>
      </c>
      <c r="Q623" s="16">
        <f t="shared" si="98"/>
        <v>4.18052256532066</v>
      </c>
      <c r="R623" s="16">
        <f t="shared" si="99"/>
        <v>0.91902484434836</v>
      </c>
      <c r="S623" s="16">
        <v>15.7635467980296</v>
      </c>
    </row>
    <row r="624" spans="1:19">
      <c r="A624" s="5" t="s">
        <v>524</v>
      </c>
      <c r="B624" s="6">
        <v>203</v>
      </c>
      <c r="C624" s="6">
        <v>9.6</v>
      </c>
      <c r="D624" s="6">
        <v>800</v>
      </c>
      <c r="E624" s="6">
        <v>352</v>
      </c>
      <c r="F624" s="6">
        <v>84.2</v>
      </c>
      <c r="G624" s="5" t="s">
        <v>20</v>
      </c>
      <c r="H624" s="6">
        <v>6010</v>
      </c>
      <c r="I624" s="14">
        <f t="shared" si="90"/>
        <v>32365.4729154454</v>
      </c>
      <c r="J624" s="15">
        <f t="shared" si="91"/>
        <v>5832.80658436095</v>
      </c>
      <c r="K624" s="15">
        <f t="shared" si="92"/>
        <v>26532.6663310845</v>
      </c>
      <c r="L624" s="15">
        <f t="shared" si="93"/>
        <v>0.180216942900823</v>
      </c>
      <c r="M624" s="15">
        <f t="shared" si="94"/>
        <v>0.219834920153784</v>
      </c>
      <c r="N624" s="16">
        <f t="shared" si="95"/>
        <v>21.1458333333333</v>
      </c>
      <c r="O624" s="16">
        <f t="shared" si="96"/>
        <v>2053147.91769506</v>
      </c>
      <c r="P624" s="16">
        <f t="shared" si="97"/>
        <v>2234050.50507731</v>
      </c>
      <c r="Q624" s="16">
        <f t="shared" si="98"/>
        <v>4.18052256532066</v>
      </c>
      <c r="R624" s="16">
        <f t="shared" si="99"/>
        <v>0.91902484434836</v>
      </c>
      <c r="S624" s="16">
        <v>15.7635467980296</v>
      </c>
    </row>
    <row r="625" spans="1:19">
      <c r="A625" s="5" t="s">
        <v>525</v>
      </c>
      <c r="B625" s="6">
        <v>129</v>
      </c>
      <c r="C625" s="6">
        <v>3</v>
      </c>
      <c r="D625" s="6">
        <v>387</v>
      </c>
      <c r="E625" s="6">
        <v>306</v>
      </c>
      <c r="F625" s="6">
        <v>53.7</v>
      </c>
      <c r="G625" s="5" t="s">
        <v>265</v>
      </c>
      <c r="H625" s="6">
        <v>1068</v>
      </c>
      <c r="I625" s="14">
        <f t="shared" si="90"/>
        <v>13069.8108370969</v>
      </c>
      <c r="J625" s="15">
        <f t="shared" si="91"/>
        <v>1187.52202305694</v>
      </c>
      <c r="K625" s="15">
        <f t="shared" si="92"/>
        <v>11882.28881404</v>
      </c>
      <c r="L625" s="15">
        <f t="shared" si="93"/>
        <v>0.0908599242833964</v>
      </c>
      <c r="M625" s="15">
        <f t="shared" si="94"/>
        <v>0.099940511600238</v>
      </c>
      <c r="N625" s="16">
        <f t="shared" si="95"/>
        <v>43</v>
      </c>
      <c r="O625" s="16">
        <f t="shared" si="96"/>
        <v>363381.739055424</v>
      </c>
      <c r="P625" s="16">
        <f t="shared" si="97"/>
        <v>638078.909313948</v>
      </c>
      <c r="Q625" s="16">
        <f t="shared" si="98"/>
        <v>5.69832402234637</v>
      </c>
      <c r="R625" s="16">
        <f t="shared" si="99"/>
        <v>0.569493418057222</v>
      </c>
      <c r="S625" s="16">
        <v>12</v>
      </c>
    </row>
    <row r="626" spans="1:19">
      <c r="A626" s="5" t="s">
        <v>526</v>
      </c>
      <c r="B626" s="6">
        <v>129</v>
      </c>
      <c r="C626" s="6">
        <v>3</v>
      </c>
      <c r="D626" s="6">
        <v>387</v>
      </c>
      <c r="E626" s="6">
        <v>306</v>
      </c>
      <c r="F626" s="6">
        <v>55.3</v>
      </c>
      <c r="G626" s="5" t="s">
        <v>265</v>
      </c>
      <c r="H626" s="6">
        <v>1093</v>
      </c>
      <c r="I626" s="14">
        <f t="shared" si="90"/>
        <v>13069.8108370969</v>
      </c>
      <c r="J626" s="15">
        <f t="shared" si="91"/>
        <v>1187.52202305694</v>
      </c>
      <c r="K626" s="15">
        <f t="shared" si="92"/>
        <v>11882.28881404</v>
      </c>
      <c r="L626" s="15">
        <f t="shared" si="93"/>
        <v>0.0908599242833964</v>
      </c>
      <c r="M626" s="15">
        <f t="shared" si="94"/>
        <v>0.099940511600238</v>
      </c>
      <c r="N626" s="16">
        <f t="shared" si="95"/>
        <v>43</v>
      </c>
      <c r="O626" s="16">
        <f t="shared" si="96"/>
        <v>363381.739055424</v>
      </c>
      <c r="P626" s="16">
        <f t="shared" si="97"/>
        <v>657090.571416412</v>
      </c>
      <c r="Q626" s="16">
        <f t="shared" si="98"/>
        <v>5.53345388788427</v>
      </c>
      <c r="R626" s="16">
        <f t="shared" si="99"/>
        <v>0.55301621247148</v>
      </c>
      <c r="S626" s="16">
        <v>12</v>
      </c>
    </row>
    <row r="627" spans="1:19">
      <c r="A627" s="5" t="s">
        <v>527</v>
      </c>
      <c r="B627" s="6">
        <v>129</v>
      </c>
      <c r="C627" s="6">
        <v>3</v>
      </c>
      <c r="D627" s="6">
        <v>387</v>
      </c>
      <c r="E627" s="6">
        <v>306</v>
      </c>
      <c r="F627" s="6">
        <v>56.3</v>
      </c>
      <c r="G627" s="5" t="s">
        <v>265</v>
      </c>
      <c r="H627" s="6">
        <v>1118</v>
      </c>
      <c r="I627" s="14">
        <f t="shared" si="90"/>
        <v>13069.8108370969</v>
      </c>
      <c r="J627" s="15">
        <f t="shared" si="91"/>
        <v>1187.52202305694</v>
      </c>
      <c r="K627" s="15">
        <f t="shared" si="92"/>
        <v>11882.28881404</v>
      </c>
      <c r="L627" s="15">
        <f t="shared" si="93"/>
        <v>0.0908599242833964</v>
      </c>
      <c r="M627" s="15">
        <f t="shared" si="94"/>
        <v>0.099940511600238</v>
      </c>
      <c r="N627" s="16">
        <f t="shared" si="95"/>
        <v>43</v>
      </c>
      <c r="O627" s="16">
        <f t="shared" si="96"/>
        <v>363381.739055424</v>
      </c>
      <c r="P627" s="16">
        <f t="shared" si="97"/>
        <v>668972.860230452</v>
      </c>
      <c r="Q627" s="16">
        <f t="shared" si="98"/>
        <v>5.43516873889876</v>
      </c>
      <c r="R627" s="16">
        <f t="shared" si="99"/>
        <v>0.543193544399162</v>
      </c>
      <c r="S627" s="16">
        <v>12</v>
      </c>
    </row>
    <row r="628" spans="1:19">
      <c r="A628" s="5" t="s">
        <v>528</v>
      </c>
      <c r="B628" s="6">
        <v>129</v>
      </c>
      <c r="C628" s="6">
        <v>3</v>
      </c>
      <c r="D628" s="6">
        <v>387</v>
      </c>
      <c r="E628" s="6">
        <v>306</v>
      </c>
      <c r="F628" s="6">
        <v>58.8</v>
      </c>
      <c r="G628" s="5" t="s">
        <v>265</v>
      </c>
      <c r="H628" s="6">
        <v>1162</v>
      </c>
      <c r="I628" s="14">
        <f t="shared" si="90"/>
        <v>13069.8108370969</v>
      </c>
      <c r="J628" s="15">
        <f t="shared" si="91"/>
        <v>1187.52202305694</v>
      </c>
      <c r="K628" s="15">
        <f t="shared" si="92"/>
        <v>11882.28881404</v>
      </c>
      <c r="L628" s="15">
        <f t="shared" si="93"/>
        <v>0.0908599242833964</v>
      </c>
      <c r="M628" s="15">
        <f t="shared" si="94"/>
        <v>0.099940511600238</v>
      </c>
      <c r="N628" s="16">
        <f t="shared" si="95"/>
        <v>43</v>
      </c>
      <c r="O628" s="16">
        <f t="shared" si="96"/>
        <v>363381.739055424</v>
      </c>
      <c r="P628" s="16">
        <f t="shared" si="97"/>
        <v>698678.582265552</v>
      </c>
      <c r="Q628" s="16">
        <f t="shared" si="98"/>
        <v>5.20408163265306</v>
      </c>
      <c r="R628" s="16">
        <f t="shared" si="99"/>
        <v>0.520098580776749</v>
      </c>
      <c r="S628" s="16">
        <v>12</v>
      </c>
    </row>
    <row r="629" spans="1:19">
      <c r="A629" s="5" t="s">
        <v>529</v>
      </c>
      <c r="B629" s="7">
        <v>131</v>
      </c>
      <c r="C629" s="7">
        <v>4</v>
      </c>
      <c r="D629" s="6">
        <v>393</v>
      </c>
      <c r="E629" s="7">
        <v>306</v>
      </c>
      <c r="F629" s="7">
        <v>53.7</v>
      </c>
      <c r="G629" s="5" t="s">
        <v>265</v>
      </c>
      <c r="H629" s="6">
        <v>1280</v>
      </c>
      <c r="I629" s="14">
        <f t="shared" si="90"/>
        <v>13478.2178820636</v>
      </c>
      <c r="J629" s="15">
        <f t="shared" si="91"/>
        <v>1595.92906802361</v>
      </c>
      <c r="K629" s="15">
        <f t="shared" si="92"/>
        <v>11882.28881404</v>
      </c>
      <c r="L629" s="15">
        <f t="shared" si="93"/>
        <v>0.118408018180759</v>
      </c>
      <c r="M629" s="15">
        <f t="shared" si="94"/>
        <v>0.134311587018309</v>
      </c>
      <c r="N629" s="16">
        <f t="shared" si="95"/>
        <v>32.75</v>
      </c>
      <c r="O629" s="16">
        <f t="shared" si="96"/>
        <v>488354.294815226</v>
      </c>
      <c r="P629" s="16">
        <f t="shared" si="97"/>
        <v>638078.909313948</v>
      </c>
      <c r="Q629" s="16">
        <f t="shared" si="98"/>
        <v>5.69832402234637</v>
      </c>
      <c r="R629" s="16">
        <f t="shared" si="99"/>
        <v>0.765350942785896</v>
      </c>
      <c r="S629" s="16">
        <v>12</v>
      </c>
    </row>
    <row r="630" spans="1:19">
      <c r="A630" s="5" t="s">
        <v>530</v>
      </c>
      <c r="B630" s="7">
        <v>131</v>
      </c>
      <c r="C630" s="7">
        <v>4</v>
      </c>
      <c r="D630" s="6">
        <v>393</v>
      </c>
      <c r="E630" s="7">
        <v>306</v>
      </c>
      <c r="F630" s="7">
        <v>55.3</v>
      </c>
      <c r="G630" s="5" t="s">
        <v>265</v>
      </c>
      <c r="H630" s="6">
        <v>1360</v>
      </c>
      <c r="I630" s="14">
        <f t="shared" si="90"/>
        <v>13478.2178820636</v>
      </c>
      <c r="J630" s="15">
        <f t="shared" si="91"/>
        <v>1595.92906802361</v>
      </c>
      <c r="K630" s="15">
        <f t="shared" si="92"/>
        <v>11882.28881404</v>
      </c>
      <c r="L630" s="15">
        <f t="shared" si="93"/>
        <v>0.118408018180759</v>
      </c>
      <c r="M630" s="15">
        <f t="shared" si="94"/>
        <v>0.134311587018309</v>
      </c>
      <c r="N630" s="16">
        <f t="shared" si="95"/>
        <v>32.75</v>
      </c>
      <c r="O630" s="16">
        <f t="shared" si="96"/>
        <v>488354.294815226</v>
      </c>
      <c r="P630" s="16">
        <f t="shared" si="97"/>
        <v>657090.571416412</v>
      </c>
      <c r="Q630" s="16">
        <f t="shared" si="98"/>
        <v>5.53345388788427</v>
      </c>
      <c r="R630" s="16">
        <f t="shared" si="99"/>
        <v>0.743206973374369</v>
      </c>
      <c r="S630" s="16">
        <v>12</v>
      </c>
    </row>
    <row r="631" spans="1:19">
      <c r="A631" s="5" t="s">
        <v>531</v>
      </c>
      <c r="B631" s="7">
        <v>131</v>
      </c>
      <c r="C631" s="7">
        <v>4</v>
      </c>
      <c r="D631" s="6">
        <v>393</v>
      </c>
      <c r="E631" s="7">
        <v>306</v>
      </c>
      <c r="F631" s="7">
        <v>56.3</v>
      </c>
      <c r="G631" s="5" t="s">
        <v>265</v>
      </c>
      <c r="H631" s="6">
        <v>1403</v>
      </c>
      <c r="I631" s="14">
        <f t="shared" si="90"/>
        <v>13478.2178820636</v>
      </c>
      <c r="J631" s="15">
        <f t="shared" si="91"/>
        <v>1595.92906802361</v>
      </c>
      <c r="K631" s="15">
        <f t="shared" si="92"/>
        <v>11882.28881404</v>
      </c>
      <c r="L631" s="15">
        <f t="shared" si="93"/>
        <v>0.118408018180759</v>
      </c>
      <c r="M631" s="15">
        <f t="shared" si="94"/>
        <v>0.134311587018309</v>
      </c>
      <c r="N631" s="16">
        <f t="shared" si="95"/>
        <v>32.75</v>
      </c>
      <c r="O631" s="16">
        <f t="shared" si="96"/>
        <v>488354.294815226</v>
      </c>
      <c r="P631" s="16">
        <f t="shared" si="97"/>
        <v>668972.860230452</v>
      </c>
      <c r="Q631" s="16">
        <f t="shared" si="98"/>
        <v>5.43516873889876</v>
      </c>
      <c r="R631" s="16">
        <f t="shared" si="99"/>
        <v>0.730006139033794</v>
      </c>
      <c r="S631" s="16">
        <v>12</v>
      </c>
    </row>
    <row r="632" spans="1:19">
      <c r="A632" s="5" t="s">
        <v>532</v>
      </c>
      <c r="B632" s="7">
        <v>131</v>
      </c>
      <c r="C632" s="7">
        <v>4</v>
      </c>
      <c r="D632" s="6">
        <v>393</v>
      </c>
      <c r="E632" s="7">
        <v>306</v>
      </c>
      <c r="F632" s="7">
        <v>58.8</v>
      </c>
      <c r="G632" s="5" t="s">
        <v>265</v>
      </c>
      <c r="H632" s="6">
        <v>1459</v>
      </c>
      <c r="I632" s="14">
        <f t="shared" si="90"/>
        <v>13478.2178820636</v>
      </c>
      <c r="J632" s="15">
        <f t="shared" si="91"/>
        <v>1595.92906802361</v>
      </c>
      <c r="K632" s="15">
        <f t="shared" si="92"/>
        <v>11882.28881404</v>
      </c>
      <c r="L632" s="15">
        <f t="shared" si="93"/>
        <v>0.118408018180759</v>
      </c>
      <c r="M632" s="15">
        <f t="shared" si="94"/>
        <v>0.134311587018309</v>
      </c>
      <c r="N632" s="16">
        <f t="shared" si="95"/>
        <v>32.75</v>
      </c>
      <c r="O632" s="16">
        <f t="shared" si="96"/>
        <v>488354.294815226</v>
      </c>
      <c r="P632" s="16">
        <f t="shared" si="97"/>
        <v>698678.582265552</v>
      </c>
      <c r="Q632" s="16">
        <f t="shared" si="98"/>
        <v>5.20408163265306</v>
      </c>
      <c r="R632" s="16">
        <f t="shared" si="99"/>
        <v>0.698968463054466</v>
      </c>
      <c r="S632" s="16">
        <v>12</v>
      </c>
    </row>
    <row r="633" spans="1:19">
      <c r="A633" s="5" t="s">
        <v>533</v>
      </c>
      <c r="B633" s="7">
        <v>133</v>
      </c>
      <c r="C633" s="7">
        <v>5</v>
      </c>
      <c r="D633" s="6">
        <v>399</v>
      </c>
      <c r="E633" s="7">
        <v>306</v>
      </c>
      <c r="F633" s="7">
        <v>53.7</v>
      </c>
      <c r="G633" s="5" t="s">
        <v>265</v>
      </c>
      <c r="H633" s="6">
        <v>1454</v>
      </c>
      <c r="I633" s="14">
        <f t="shared" si="90"/>
        <v>13892.9081123375</v>
      </c>
      <c r="J633" s="15">
        <f t="shared" si="91"/>
        <v>2010.61929829747</v>
      </c>
      <c r="K633" s="15">
        <f t="shared" si="92"/>
        <v>11882.28881404</v>
      </c>
      <c r="L633" s="15">
        <f t="shared" si="93"/>
        <v>0.14472270902821</v>
      </c>
      <c r="M633" s="15">
        <f t="shared" si="94"/>
        <v>0.169211448212043</v>
      </c>
      <c r="N633" s="16">
        <f t="shared" si="95"/>
        <v>26.6</v>
      </c>
      <c r="O633" s="16">
        <f t="shared" si="96"/>
        <v>615249.505279025</v>
      </c>
      <c r="P633" s="16">
        <f t="shared" si="97"/>
        <v>638078.909313948</v>
      </c>
      <c r="Q633" s="16">
        <f t="shared" si="98"/>
        <v>5.69832402234637</v>
      </c>
      <c r="R633" s="16">
        <f t="shared" si="99"/>
        <v>0.964221660202704</v>
      </c>
      <c r="S633" s="16">
        <v>12</v>
      </c>
    </row>
    <row r="634" spans="1:19">
      <c r="A634" s="5" t="s">
        <v>534</v>
      </c>
      <c r="B634" s="7">
        <v>133</v>
      </c>
      <c r="C634" s="7">
        <v>5</v>
      </c>
      <c r="D634" s="6">
        <v>399</v>
      </c>
      <c r="E634" s="7">
        <v>306</v>
      </c>
      <c r="F634" s="7">
        <v>55.3</v>
      </c>
      <c r="G634" s="5" t="s">
        <v>265</v>
      </c>
      <c r="H634" s="6">
        <v>1470</v>
      </c>
      <c r="I634" s="14">
        <f t="shared" si="90"/>
        <v>13892.9081123375</v>
      </c>
      <c r="J634" s="15">
        <f t="shared" si="91"/>
        <v>2010.61929829747</v>
      </c>
      <c r="K634" s="15">
        <f t="shared" si="92"/>
        <v>11882.28881404</v>
      </c>
      <c r="L634" s="15">
        <f t="shared" si="93"/>
        <v>0.14472270902821</v>
      </c>
      <c r="M634" s="15">
        <f t="shared" si="94"/>
        <v>0.169211448212043</v>
      </c>
      <c r="N634" s="16">
        <f t="shared" si="95"/>
        <v>26.6</v>
      </c>
      <c r="O634" s="16">
        <f t="shared" si="96"/>
        <v>615249.505279025</v>
      </c>
      <c r="P634" s="16">
        <f t="shared" si="97"/>
        <v>657090.571416412</v>
      </c>
      <c r="Q634" s="16">
        <f t="shared" si="98"/>
        <v>5.53345388788427</v>
      </c>
      <c r="R634" s="16">
        <f t="shared" si="99"/>
        <v>0.936323745983457</v>
      </c>
      <c r="S634" s="16">
        <v>12</v>
      </c>
    </row>
    <row r="635" spans="1:19">
      <c r="A635" s="5" t="s">
        <v>535</v>
      </c>
      <c r="B635" s="7">
        <v>133</v>
      </c>
      <c r="C635" s="7">
        <v>5</v>
      </c>
      <c r="D635" s="6">
        <v>399</v>
      </c>
      <c r="E635" s="7">
        <v>306</v>
      </c>
      <c r="F635" s="6">
        <v>56.3</v>
      </c>
      <c r="G635" s="5" t="s">
        <v>265</v>
      </c>
      <c r="H635" s="6">
        <v>1518</v>
      </c>
      <c r="I635" s="14">
        <f t="shared" si="90"/>
        <v>13892.9081123375</v>
      </c>
      <c r="J635" s="15">
        <f t="shared" si="91"/>
        <v>2010.61929829747</v>
      </c>
      <c r="K635" s="15">
        <f t="shared" si="92"/>
        <v>11882.28881404</v>
      </c>
      <c r="L635" s="15">
        <f t="shared" si="93"/>
        <v>0.14472270902821</v>
      </c>
      <c r="M635" s="15">
        <f t="shared" si="94"/>
        <v>0.169211448212043</v>
      </c>
      <c r="N635" s="16">
        <f t="shared" si="95"/>
        <v>26.6</v>
      </c>
      <c r="O635" s="16">
        <f t="shared" si="96"/>
        <v>615249.505279025</v>
      </c>
      <c r="P635" s="16">
        <f t="shared" si="97"/>
        <v>668972.860230452</v>
      </c>
      <c r="Q635" s="16">
        <f t="shared" si="98"/>
        <v>5.43516873889876</v>
      </c>
      <c r="R635" s="16">
        <f t="shared" si="99"/>
        <v>0.919692773585883</v>
      </c>
      <c r="S635" s="16">
        <v>12</v>
      </c>
    </row>
    <row r="636" spans="1:19">
      <c r="A636" s="5" t="s">
        <v>536</v>
      </c>
      <c r="B636" s="7">
        <v>133</v>
      </c>
      <c r="C636" s="7">
        <v>5</v>
      </c>
      <c r="D636" s="6">
        <v>399</v>
      </c>
      <c r="E636" s="7">
        <v>306</v>
      </c>
      <c r="F636" s="6">
        <v>58.8</v>
      </c>
      <c r="G636" s="5" t="s">
        <v>265</v>
      </c>
      <c r="H636" s="6">
        <v>1569</v>
      </c>
      <c r="I636" s="14">
        <f t="shared" si="90"/>
        <v>13892.9081123375</v>
      </c>
      <c r="J636" s="15">
        <f t="shared" si="91"/>
        <v>2010.61929829747</v>
      </c>
      <c r="K636" s="15">
        <f t="shared" si="92"/>
        <v>11882.28881404</v>
      </c>
      <c r="L636" s="15">
        <f t="shared" si="93"/>
        <v>0.14472270902821</v>
      </c>
      <c r="M636" s="15">
        <f t="shared" si="94"/>
        <v>0.169211448212043</v>
      </c>
      <c r="N636" s="16">
        <f t="shared" si="95"/>
        <v>26.6</v>
      </c>
      <c r="O636" s="16">
        <f t="shared" si="96"/>
        <v>615249.505279025</v>
      </c>
      <c r="P636" s="16">
        <f t="shared" si="97"/>
        <v>698678.582265552</v>
      </c>
      <c r="Q636" s="16">
        <f t="shared" si="98"/>
        <v>5.20408163265306</v>
      </c>
      <c r="R636" s="16">
        <f t="shared" si="99"/>
        <v>0.880590189674918</v>
      </c>
      <c r="S636" s="16">
        <v>12</v>
      </c>
    </row>
    <row r="637" spans="1:19">
      <c r="A637" s="5" t="s">
        <v>537</v>
      </c>
      <c r="B637" s="7">
        <v>129</v>
      </c>
      <c r="C637" s="7">
        <v>3</v>
      </c>
      <c r="D637" s="6">
        <v>387</v>
      </c>
      <c r="E637" s="7">
        <v>306</v>
      </c>
      <c r="F637" s="6">
        <v>60.9</v>
      </c>
      <c r="G637" s="5" t="s">
        <v>265</v>
      </c>
      <c r="H637" s="6">
        <v>1095</v>
      </c>
      <c r="I637" s="14">
        <f t="shared" si="90"/>
        <v>13069.8108370969</v>
      </c>
      <c r="J637" s="15">
        <f t="shared" si="91"/>
        <v>1187.52202305694</v>
      </c>
      <c r="K637" s="15">
        <f t="shared" si="92"/>
        <v>11882.28881404</v>
      </c>
      <c r="L637" s="15">
        <f t="shared" si="93"/>
        <v>0.0908599242833964</v>
      </c>
      <c r="M637" s="15">
        <f t="shared" si="94"/>
        <v>0.099940511600238</v>
      </c>
      <c r="N637" s="16">
        <f t="shared" si="95"/>
        <v>43</v>
      </c>
      <c r="O637" s="16">
        <f t="shared" si="96"/>
        <v>363381.739055424</v>
      </c>
      <c r="P637" s="16">
        <f t="shared" si="97"/>
        <v>723631.388775036</v>
      </c>
      <c r="Q637" s="16">
        <f t="shared" si="98"/>
        <v>5.02463054187192</v>
      </c>
      <c r="R637" s="16">
        <f t="shared" si="99"/>
        <v>0.502164146956861</v>
      </c>
      <c r="S637" s="16">
        <v>12</v>
      </c>
    </row>
    <row r="638" spans="1:19">
      <c r="A638" s="5" t="s">
        <v>538</v>
      </c>
      <c r="B638" s="7">
        <v>129</v>
      </c>
      <c r="C638" s="7">
        <v>3</v>
      </c>
      <c r="D638" s="6">
        <v>387</v>
      </c>
      <c r="E638" s="7">
        <v>306</v>
      </c>
      <c r="F638" s="6">
        <v>62.4</v>
      </c>
      <c r="G638" s="5" t="s">
        <v>265</v>
      </c>
      <c r="H638" s="6">
        <v>1128</v>
      </c>
      <c r="I638" s="14">
        <f t="shared" si="90"/>
        <v>13069.8108370969</v>
      </c>
      <c r="J638" s="15">
        <f t="shared" si="91"/>
        <v>1187.52202305694</v>
      </c>
      <c r="K638" s="15">
        <f t="shared" si="92"/>
        <v>11882.28881404</v>
      </c>
      <c r="L638" s="15">
        <f t="shared" si="93"/>
        <v>0.0908599242833964</v>
      </c>
      <c r="M638" s="15">
        <f t="shared" si="94"/>
        <v>0.099940511600238</v>
      </c>
      <c r="N638" s="16">
        <f t="shared" si="95"/>
        <v>43</v>
      </c>
      <c r="O638" s="16">
        <f t="shared" si="96"/>
        <v>363381.739055424</v>
      </c>
      <c r="P638" s="16">
        <f t="shared" si="97"/>
        <v>741454.821996096</v>
      </c>
      <c r="Q638" s="16">
        <f t="shared" si="98"/>
        <v>4.90384615384615</v>
      </c>
      <c r="R638" s="16">
        <f t="shared" si="99"/>
        <v>0.490092893424244</v>
      </c>
      <c r="S638" s="16">
        <v>12</v>
      </c>
    </row>
    <row r="639" spans="1:19">
      <c r="A639" s="5" t="s">
        <v>539</v>
      </c>
      <c r="B639" s="7">
        <v>129</v>
      </c>
      <c r="C639" s="7">
        <v>3</v>
      </c>
      <c r="D639" s="6">
        <v>387</v>
      </c>
      <c r="E639" s="7">
        <v>306</v>
      </c>
      <c r="F639" s="6">
        <v>64</v>
      </c>
      <c r="G639" s="5" t="s">
        <v>265</v>
      </c>
      <c r="H639" s="6">
        <v>1147</v>
      </c>
      <c r="I639" s="14">
        <f t="shared" si="90"/>
        <v>13069.8108370969</v>
      </c>
      <c r="J639" s="15">
        <f t="shared" si="91"/>
        <v>1187.52202305694</v>
      </c>
      <c r="K639" s="15">
        <f t="shared" si="92"/>
        <v>11882.28881404</v>
      </c>
      <c r="L639" s="15">
        <f t="shared" si="93"/>
        <v>0.0908599242833964</v>
      </c>
      <c r="M639" s="15">
        <f t="shared" si="94"/>
        <v>0.099940511600238</v>
      </c>
      <c r="N639" s="16">
        <f t="shared" si="95"/>
        <v>43</v>
      </c>
      <c r="O639" s="16">
        <f t="shared" si="96"/>
        <v>363381.739055424</v>
      </c>
      <c r="P639" s="16">
        <f t="shared" si="97"/>
        <v>760466.48409856</v>
      </c>
      <c r="Q639" s="16">
        <f t="shared" si="98"/>
        <v>4.78125</v>
      </c>
      <c r="R639" s="16">
        <f t="shared" si="99"/>
        <v>0.477840571088638</v>
      </c>
      <c r="S639" s="16">
        <v>12</v>
      </c>
    </row>
    <row r="640" spans="1:19">
      <c r="A640" s="5" t="s">
        <v>540</v>
      </c>
      <c r="B640" s="7">
        <v>129</v>
      </c>
      <c r="C640" s="7">
        <v>3</v>
      </c>
      <c r="D640" s="6">
        <v>387</v>
      </c>
      <c r="E640" s="7">
        <v>306</v>
      </c>
      <c r="F640" s="6">
        <v>66.2</v>
      </c>
      <c r="G640" s="5" t="s">
        <v>265</v>
      </c>
      <c r="H640" s="6">
        <v>1192</v>
      </c>
      <c r="I640" s="14">
        <f t="shared" si="90"/>
        <v>13069.8108370969</v>
      </c>
      <c r="J640" s="15">
        <f t="shared" si="91"/>
        <v>1187.52202305694</v>
      </c>
      <c r="K640" s="15">
        <f t="shared" si="92"/>
        <v>11882.28881404</v>
      </c>
      <c r="L640" s="15">
        <f t="shared" si="93"/>
        <v>0.0908599242833964</v>
      </c>
      <c r="M640" s="15">
        <f t="shared" si="94"/>
        <v>0.099940511600238</v>
      </c>
      <c r="N640" s="16">
        <f t="shared" si="95"/>
        <v>43</v>
      </c>
      <c r="O640" s="16">
        <f t="shared" si="96"/>
        <v>363381.739055424</v>
      </c>
      <c r="P640" s="16">
        <f t="shared" si="97"/>
        <v>786607.519489448</v>
      </c>
      <c r="Q640" s="16">
        <f t="shared" si="98"/>
        <v>4.62235649546828</v>
      </c>
      <c r="R640" s="16">
        <f t="shared" si="99"/>
        <v>0.461960672955783</v>
      </c>
      <c r="S640" s="16">
        <v>12</v>
      </c>
    </row>
    <row r="641" spans="1:19">
      <c r="A641" s="5" t="s">
        <v>541</v>
      </c>
      <c r="B641" s="7">
        <v>131</v>
      </c>
      <c r="C641" s="7">
        <v>4</v>
      </c>
      <c r="D641" s="6">
        <v>393</v>
      </c>
      <c r="E641" s="7">
        <v>306</v>
      </c>
      <c r="F641" s="6">
        <v>60.9</v>
      </c>
      <c r="G641" s="5" t="s">
        <v>265</v>
      </c>
      <c r="H641" s="6">
        <v>1320</v>
      </c>
      <c r="I641" s="14">
        <f t="shared" si="90"/>
        <v>13478.2178820636</v>
      </c>
      <c r="J641" s="15">
        <f t="shared" si="91"/>
        <v>1595.92906802361</v>
      </c>
      <c r="K641" s="15">
        <f t="shared" si="92"/>
        <v>11882.28881404</v>
      </c>
      <c r="L641" s="15">
        <f t="shared" si="93"/>
        <v>0.118408018180759</v>
      </c>
      <c r="M641" s="15">
        <f t="shared" si="94"/>
        <v>0.134311587018309</v>
      </c>
      <c r="N641" s="16">
        <f t="shared" si="95"/>
        <v>32.75</v>
      </c>
      <c r="O641" s="16">
        <f t="shared" si="96"/>
        <v>488354.294815226</v>
      </c>
      <c r="P641" s="16">
        <f t="shared" si="97"/>
        <v>723631.388775036</v>
      </c>
      <c r="Q641" s="16">
        <f t="shared" si="98"/>
        <v>5.02463054187192</v>
      </c>
      <c r="R641" s="16">
        <f t="shared" si="99"/>
        <v>0.674866102259485</v>
      </c>
      <c r="S641" s="16">
        <v>12</v>
      </c>
    </row>
    <row r="642" spans="1:19">
      <c r="A642" s="5" t="s">
        <v>542</v>
      </c>
      <c r="B642" s="7">
        <v>131</v>
      </c>
      <c r="C642" s="7">
        <v>4</v>
      </c>
      <c r="D642" s="6">
        <v>393</v>
      </c>
      <c r="E642" s="7">
        <v>306</v>
      </c>
      <c r="F642" s="6">
        <v>62.4</v>
      </c>
      <c r="G642" s="5" t="s">
        <v>265</v>
      </c>
      <c r="H642" s="6">
        <v>1389</v>
      </c>
      <c r="I642" s="14">
        <f t="shared" si="90"/>
        <v>13478.2178820636</v>
      </c>
      <c r="J642" s="15">
        <f t="shared" si="91"/>
        <v>1595.92906802361</v>
      </c>
      <c r="K642" s="15">
        <f t="shared" si="92"/>
        <v>11882.28881404</v>
      </c>
      <c r="L642" s="15">
        <f t="shared" si="93"/>
        <v>0.118408018180759</v>
      </c>
      <c r="M642" s="15">
        <f t="shared" si="94"/>
        <v>0.134311587018309</v>
      </c>
      <c r="N642" s="16">
        <f t="shared" si="95"/>
        <v>32.75</v>
      </c>
      <c r="O642" s="16">
        <f t="shared" si="96"/>
        <v>488354.294815226</v>
      </c>
      <c r="P642" s="16">
        <f t="shared" si="97"/>
        <v>741454.821996096</v>
      </c>
      <c r="Q642" s="16">
        <f t="shared" si="98"/>
        <v>4.90384615384615</v>
      </c>
      <c r="R642" s="16">
        <f t="shared" si="99"/>
        <v>0.658643359416709</v>
      </c>
      <c r="S642" s="16">
        <v>12</v>
      </c>
    </row>
    <row r="643" spans="1:19">
      <c r="A643" s="5" t="s">
        <v>543</v>
      </c>
      <c r="B643" s="7">
        <v>131</v>
      </c>
      <c r="C643" s="7">
        <v>4</v>
      </c>
      <c r="D643" s="6">
        <v>393</v>
      </c>
      <c r="E643" s="7">
        <v>306</v>
      </c>
      <c r="F643" s="6">
        <v>64</v>
      </c>
      <c r="G643" s="5" t="s">
        <v>265</v>
      </c>
      <c r="H643" s="6">
        <v>1430</v>
      </c>
      <c r="I643" s="14">
        <f t="shared" ref="I643:I706" si="100">(PI()*B643^2)/4</f>
        <v>13478.2178820636</v>
      </c>
      <c r="J643" s="15">
        <f t="shared" ref="J643:J706" si="101">(PI()*(B643^2-(B643-2*C643)^2))/4</f>
        <v>1595.92906802361</v>
      </c>
      <c r="K643" s="15">
        <f t="shared" ref="K643:K706" si="102">(PI()*(B643-2*C643)^2)/4</f>
        <v>11882.28881404</v>
      </c>
      <c r="L643" s="15">
        <f t="shared" ref="L643:L706" si="103">J643/I643</f>
        <v>0.118408018180759</v>
      </c>
      <c r="M643" s="15">
        <f t="shared" ref="M643:M706" si="104">J643/K643</f>
        <v>0.134311587018309</v>
      </c>
      <c r="N643" s="16">
        <f t="shared" ref="N643:N706" si="105">B643/C643</f>
        <v>32.75</v>
      </c>
      <c r="O643" s="16">
        <f t="shared" ref="O643:O706" si="106">J643*E643</f>
        <v>488354.294815226</v>
      </c>
      <c r="P643" s="16">
        <f t="shared" ref="P643:P706" si="107">K643*F643</f>
        <v>760466.48409856</v>
      </c>
      <c r="Q643" s="16">
        <f t="shared" ref="Q643:Q706" si="108">E643/F643</f>
        <v>4.78125</v>
      </c>
      <c r="R643" s="16">
        <f t="shared" ref="R643:R706" si="109">O643/P643</f>
        <v>0.642177275431291</v>
      </c>
      <c r="S643" s="16">
        <v>12</v>
      </c>
    </row>
    <row r="644" spans="1:19">
      <c r="A644" s="5" t="s">
        <v>544</v>
      </c>
      <c r="B644" s="7">
        <v>131</v>
      </c>
      <c r="C644" s="7">
        <v>4</v>
      </c>
      <c r="D644" s="6">
        <v>393</v>
      </c>
      <c r="E644" s="7">
        <v>306</v>
      </c>
      <c r="F644" s="6">
        <v>66.2</v>
      </c>
      <c r="G644" s="5" t="s">
        <v>265</v>
      </c>
      <c r="H644" s="6">
        <v>1452</v>
      </c>
      <c r="I644" s="14">
        <f t="shared" si="100"/>
        <v>13478.2178820636</v>
      </c>
      <c r="J644" s="15">
        <f t="shared" si="101"/>
        <v>1595.92906802361</v>
      </c>
      <c r="K644" s="15">
        <f t="shared" si="102"/>
        <v>11882.28881404</v>
      </c>
      <c r="L644" s="15">
        <f t="shared" si="103"/>
        <v>0.118408018180759</v>
      </c>
      <c r="M644" s="15">
        <f t="shared" si="104"/>
        <v>0.134311587018309</v>
      </c>
      <c r="N644" s="16">
        <f t="shared" si="105"/>
        <v>32.75</v>
      </c>
      <c r="O644" s="16">
        <f t="shared" si="106"/>
        <v>488354.294815226</v>
      </c>
      <c r="P644" s="16">
        <f t="shared" si="107"/>
        <v>786607.519489448</v>
      </c>
      <c r="Q644" s="16">
        <f t="shared" si="108"/>
        <v>4.62235649546828</v>
      </c>
      <c r="R644" s="16">
        <f t="shared" si="109"/>
        <v>0.620836036670734</v>
      </c>
      <c r="S644" s="16">
        <v>12</v>
      </c>
    </row>
    <row r="645" spans="1:19">
      <c r="A645" s="5" t="s">
        <v>545</v>
      </c>
      <c r="B645" s="7">
        <v>133</v>
      </c>
      <c r="C645" s="7">
        <v>5</v>
      </c>
      <c r="D645" s="6">
        <v>399</v>
      </c>
      <c r="E645" s="7">
        <v>306</v>
      </c>
      <c r="F645" s="6">
        <v>60.9</v>
      </c>
      <c r="G645" s="5" t="s">
        <v>265</v>
      </c>
      <c r="H645" s="6">
        <v>1548</v>
      </c>
      <c r="I645" s="14">
        <f t="shared" si="100"/>
        <v>13892.9081123375</v>
      </c>
      <c r="J645" s="15">
        <f t="shared" si="101"/>
        <v>2010.61929829747</v>
      </c>
      <c r="K645" s="15">
        <f t="shared" si="102"/>
        <v>11882.28881404</v>
      </c>
      <c r="L645" s="15">
        <f t="shared" si="103"/>
        <v>0.14472270902821</v>
      </c>
      <c r="M645" s="15">
        <f t="shared" si="104"/>
        <v>0.169211448212043</v>
      </c>
      <c r="N645" s="16">
        <f t="shared" si="105"/>
        <v>26.6</v>
      </c>
      <c r="O645" s="16">
        <f t="shared" si="106"/>
        <v>615249.505279025</v>
      </c>
      <c r="P645" s="16">
        <f t="shared" si="107"/>
        <v>723631.388775036</v>
      </c>
      <c r="Q645" s="16">
        <f t="shared" si="108"/>
        <v>5.02463054187192</v>
      </c>
      <c r="R645" s="16">
        <f t="shared" si="109"/>
        <v>0.850225010720611</v>
      </c>
      <c r="S645" s="16">
        <v>12</v>
      </c>
    </row>
    <row r="646" spans="1:19">
      <c r="A646" s="5" t="s">
        <v>546</v>
      </c>
      <c r="B646" s="7">
        <v>133</v>
      </c>
      <c r="C646" s="7">
        <v>5</v>
      </c>
      <c r="D646" s="6">
        <v>399</v>
      </c>
      <c r="E646" s="7">
        <v>306</v>
      </c>
      <c r="F646" s="6">
        <v>62.4</v>
      </c>
      <c r="G646" s="5" t="s">
        <v>265</v>
      </c>
      <c r="H646" s="6">
        <v>1581</v>
      </c>
      <c r="I646" s="14">
        <f t="shared" si="100"/>
        <v>13892.9081123375</v>
      </c>
      <c r="J646" s="15">
        <f t="shared" si="101"/>
        <v>2010.61929829747</v>
      </c>
      <c r="K646" s="15">
        <f t="shared" si="102"/>
        <v>11882.28881404</v>
      </c>
      <c r="L646" s="15">
        <f t="shared" si="103"/>
        <v>0.14472270902821</v>
      </c>
      <c r="M646" s="15">
        <f t="shared" si="104"/>
        <v>0.169211448212043</v>
      </c>
      <c r="N646" s="16">
        <f t="shared" si="105"/>
        <v>26.6</v>
      </c>
      <c r="O646" s="16">
        <f t="shared" si="106"/>
        <v>615249.505279025</v>
      </c>
      <c r="P646" s="16">
        <f t="shared" si="107"/>
        <v>741454.821996096</v>
      </c>
      <c r="Q646" s="16">
        <f t="shared" si="108"/>
        <v>4.90384615384615</v>
      </c>
      <c r="R646" s="16">
        <f t="shared" si="109"/>
        <v>0.829786909501365</v>
      </c>
      <c r="S646" s="16">
        <v>12</v>
      </c>
    </row>
    <row r="647" spans="1:19">
      <c r="A647" s="5" t="s">
        <v>547</v>
      </c>
      <c r="B647" s="7">
        <v>133</v>
      </c>
      <c r="C647" s="7">
        <v>5</v>
      </c>
      <c r="D647" s="6">
        <v>399</v>
      </c>
      <c r="E647" s="7">
        <v>306</v>
      </c>
      <c r="F647" s="6">
        <v>64</v>
      </c>
      <c r="G647" s="5" t="s">
        <v>265</v>
      </c>
      <c r="H647" s="6">
        <v>1609</v>
      </c>
      <c r="I647" s="14">
        <f t="shared" si="100"/>
        <v>13892.9081123375</v>
      </c>
      <c r="J647" s="15">
        <f t="shared" si="101"/>
        <v>2010.61929829747</v>
      </c>
      <c r="K647" s="15">
        <f t="shared" si="102"/>
        <v>11882.28881404</v>
      </c>
      <c r="L647" s="15">
        <f t="shared" si="103"/>
        <v>0.14472270902821</v>
      </c>
      <c r="M647" s="15">
        <f t="shared" si="104"/>
        <v>0.169211448212043</v>
      </c>
      <c r="N647" s="16">
        <f t="shared" si="105"/>
        <v>26.6</v>
      </c>
      <c r="O647" s="16">
        <f t="shared" si="106"/>
        <v>615249.505279025</v>
      </c>
      <c r="P647" s="16">
        <f t="shared" si="107"/>
        <v>760466.48409856</v>
      </c>
      <c r="Q647" s="16">
        <f t="shared" si="108"/>
        <v>4.78125</v>
      </c>
      <c r="R647" s="16">
        <f t="shared" si="109"/>
        <v>0.809042236763831</v>
      </c>
      <c r="S647" s="16">
        <v>12</v>
      </c>
    </row>
    <row r="648" spans="1:19">
      <c r="A648" s="5" t="s">
        <v>548</v>
      </c>
      <c r="B648" s="7">
        <v>133</v>
      </c>
      <c r="C648" s="7">
        <v>5</v>
      </c>
      <c r="D648" s="6">
        <v>399</v>
      </c>
      <c r="E648" s="7">
        <v>306</v>
      </c>
      <c r="F648" s="6">
        <v>66.2</v>
      </c>
      <c r="G648" s="5" t="s">
        <v>265</v>
      </c>
      <c r="H648" s="6">
        <v>1661</v>
      </c>
      <c r="I648" s="14">
        <f t="shared" si="100"/>
        <v>13892.9081123375</v>
      </c>
      <c r="J648" s="15">
        <f t="shared" si="101"/>
        <v>2010.61929829747</v>
      </c>
      <c r="K648" s="15">
        <f t="shared" si="102"/>
        <v>11882.28881404</v>
      </c>
      <c r="L648" s="15">
        <f t="shared" si="103"/>
        <v>0.14472270902821</v>
      </c>
      <c r="M648" s="15">
        <f t="shared" si="104"/>
        <v>0.169211448212043</v>
      </c>
      <c r="N648" s="16">
        <f t="shared" si="105"/>
        <v>26.6</v>
      </c>
      <c r="O648" s="16">
        <f t="shared" si="106"/>
        <v>615249.505279025</v>
      </c>
      <c r="P648" s="16">
        <f t="shared" si="107"/>
        <v>786607.519489448</v>
      </c>
      <c r="Q648" s="16">
        <f t="shared" si="108"/>
        <v>4.62235649546828</v>
      </c>
      <c r="R648" s="16">
        <f t="shared" si="109"/>
        <v>0.782155636750531</v>
      </c>
      <c r="S648" s="16">
        <v>12</v>
      </c>
    </row>
    <row r="649" spans="1:19">
      <c r="A649" s="5" t="s">
        <v>549</v>
      </c>
      <c r="B649" s="7">
        <v>129</v>
      </c>
      <c r="C649" s="7">
        <v>3</v>
      </c>
      <c r="D649" s="6">
        <v>387</v>
      </c>
      <c r="E649" s="7">
        <v>306</v>
      </c>
      <c r="F649" s="6">
        <v>69.7</v>
      </c>
      <c r="G649" s="5" t="s">
        <v>265</v>
      </c>
      <c r="H649" s="6">
        <v>1266</v>
      </c>
      <c r="I649" s="14">
        <f t="shared" si="100"/>
        <v>13069.8108370969</v>
      </c>
      <c r="J649" s="15">
        <f t="shared" si="101"/>
        <v>1187.52202305694</v>
      </c>
      <c r="K649" s="15">
        <f t="shared" si="102"/>
        <v>11882.28881404</v>
      </c>
      <c r="L649" s="15">
        <f t="shared" si="103"/>
        <v>0.0908599242833964</v>
      </c>
      <c r="M649" s="15">
        <f t="shared" si="104"/>
        <v>0.099940511600238</v>
      </c>
      <c r="N649" s="16">
        <f t="shared" si="105"/>
        <v>43</v>
      </c>
      <c r="O649" s="16">
        <f t="shared" si="106"/>
        <v>363381.739055424</v>
      </c>
      <c r="P649" s="16">
        <f t="shared" si="107"/>
        <v>828195.530338588</v>
      </c>
      <c r="Q649" s="16">
        <f t="shared" si="108"/>
        <v>4.39024390243902</v>
      </c>
      <c r="R649" s="16">
        <f t="shared" si="109"/>
        <v>0.438763221659581</v>
      </c>
      <c r="S649" s="16">
        <v>12</v>
      </c>
    </row>
    <row r="650" spans="1:19">
      <c r="A650" s="5" t="s">
        <v>550</v>
      </c>
      <c r="B650" s="7">
        <v>129</v>
      </c>
      <c r="C650" s="7">
        <v>3</v>
      </c>
      <c r="D650" s="6">
        <v>387</v>
      </c>
      <c r="E650" s="7">
        <v>306</v>
      </c>
      <c r="F650" s="6">
        <v>71.6</v>
      </c>
      <c r="G650" s="5" t="s">
        <v>265</v>
      </c>
      <c r="H650" s="6">
        <v>1287</v>
      </c>
      <c r="I650" s="14">
        <f t="shared" si="100"/>
        <v>13069.8108370969</v>
      </c>
      <c r="J650" s="15">
        <f t="shared" si="101"/>
        <v>1187.52202305694</v>
      </c>
      <c r="K650" s="15">
        <f t="shared" si="102"/>
        <v>11882.28881404</v>
      </c>
      <c r="L650" s="15">
        <f t="shared" si="103"/>
        <v>0.0908599242833964</v>
      </c>
      <c r="M650" s="15">
        <f t="shared" si="104"/>
        <v>0.099940511600238</v>
      </c>
      <c r="N650" s="16">
        <f t="shared" si="105"/>
        <v>43</v>
      </c>
      <c r="O650" s="16">
        <f t="shared" si="106"/>
        <v>363381.739055424</v>
      </c>
      <c r="P650" s="16">
        <f t="shared" si="107"/>
        <v>850771.879085264</v>
      </c>
      <c r="Q650" s="16">
        <f t="shared" si="108"/>
        <v>4.27374301675978</v>
      </c>
      <c r="R650" s="16">
        <f t="shared" si="109"/>
        <v>0.427120063542916</v>
      </c>
      <c r="S650" s="16">
        <v>12</v>
      </c>
    </row>
    <row r="651" spans="1:19">
      <c r="A651" s="5" t="s">
        <v>551</v>
      </c>
      <c r="B651" s="7">
        <v>129</v>
      </c>
      <c r="C651" s="7">
        <v>3</v>
      </c>
      <c r="D651" s="6">
        <v>387</v>
      </c>
      <c r="E651" s="7">
        <v>306</v>
      </c>
      <c r="F651" s="6">
        <v>74.6</v>
      </c>
      <c r="G651" s="5" t="s">
        <v>265</v>
      </c>
      <c r="H651" s="6">
        <v>1301</v>
      </c>
      <c r="I651" s="14">
        <f t="shared" si="100"/>
        <v>13069.8108370969</v>
      </c>
      <c r="J651" s="15">
        <f t="shared" si="101"/>
        <v>1187.52202305694</v>
      </c>
      <c r="K651" s="15">
        <f t="shared" si="102"/>
        <v>11882.28881404</v>
      </c>
      <c r="L651" s="15">
        <f t="shared" si="103"/>
        <v>0.0908599242833964</v>
      </c>
      <c r="M651" s="15">
        <f t="shared" si="104"/>
        <v>0.099940511600238</v>
      </c>
      <c r="N651" s="16">
        <f t="shared" si="105"/>
        <v>43</v>
      </c>
      <c r="O651" s="16">
        <f t="shared" si="106"/>
        <v>363381.739055424</v>
      </c>
      <c r="P651" s="16">
        <f t="shared" si="107"/>
        <v>886418.745527384</v>
      </c>
      <c r="Q651" s="16">
        <f t="shared" si="108"/>
        <v>4.10187667560322</v>
      </c>
      <c r="R651" s="16">
        <f t="shared" si="109"/>
        <v>0.409943653480869</v>
      </c>
      <c r="S651" s="16">
        <v>12</v>
      </c>
    </row>
    <row r="652" spans="1:19">
      <c r="A652" s="5" t="s">
        <v>552</v>
      </c>
      <c r="B652" s="7">
        <v>129</v>
      </c>
      <c r="C652" s="7">
        <v>3</v>
      </c>
      <c r="D652" s="6">
        <v>387</v>
      </c>
      <c r="E652" s="7">
        <v>306</v>
      </c>
      <c r="F652" s="6">
        <v>76.4</v>
      </c>
      <c r="G652" s="5" t="s">
        <v>265</v>
      </c>
      <c r="H652" s="6">
        <v>1356</v>
      </c>
      <c r="I652" s="14">
        <f t="shared" si="100"/>
        <v>13069.8108370969</v>
      </c>
      <c r="J652" s="15">
        <f t="shared" si="101"/>
        <v>1187.52202305694</v>
      </c>
      <c r="K652" s="15">
        <f t="shared" si="102"/>
        <v>11882.28881404</v>
      </c>
      <c r="L652" s="15">
        <f t="shared" si="103"/>
        <v>0.0908599242833964</v>
      </c>
      <c r="M652" s="15">
        <f t="shared" si="104"/>
        <v>0.099940511600238</v>
      </c>
      <c r="N652" s="16">
        <f t="shared" si="105"/>
        <v>43</v>
      </c>
      <c r="O652" s="16">
        <f t="shared" si="106"/>
        <v>363381.739055424</v>
      </c>
      <c r="P652" s="16">
        <f t="shared" si="107"/>
        <v>907806.865392656</v>
      </c>
      <c r="Q652" s="16">
        <f t="shared" si="108"/>
        <v>4.00523560209424</v>
      </c>
      <c r="R652" s="16">
        <f t="shared" si="109"/>
        <v>0.400285295152786</v>
      </c>
      <c r="S652" s="16">
        <v>12</v>
      </c>
    </row>
    <row r="653" spans="1:19">
      <c r="A653" s="5" t="s">
        <v>553</v>
      </c>
      <c r="B653" s="7">
        <v>131</v>
      </c>
      <c r="C653" s="7">
        <v>4</v>
      </c>
      <c r="D653" s="6">
        <v>393</v>
      </c>
      <c r="E653" s="7">
        <v>306</v>
      </c>
      <c r="F653" s="6">
        <v>69.7</v>
      </c>
      <c r="G653" s="5" t="s">
        <v>265</v>
      </c>
      <c r="H653" s="6">
        <v>1469</v>
      </c>
      <c r="I653" s="14">
        <f t="shared" si="100"/>
        <v>13478.2178820636</v>
      </c>
      <c r="J653" s="15">
        <f t="shared" si="101"/>
        <v>1595.92906802361</v>
      </c>
      <c r="K653" s="15">
        <f t="shared" si="102"/>
        <v>11882.28881404</v>
      </c>
      <c r="L653" s="15">
        <f t="shared" si="103"/>
        <v>0.118408018180759</v>
      </c>
      <c r="M653" s="15">
        <f t="shared" si="104"/>
        <v>0.134311587018309</v>
      </c>
      <c r="N653" s="16">
        <f t="shared" si="105"/>
        <v>32.75</v>
      </c>
      <c r="O653" s="16">
        <f t="shared" si="106"/>
        <v>488354.294815226</v>
      </c>
      <c r="P653" s="16">
        <f t="shared" si="107"/>
        <v>828195.530338588</v>
      </c>
      <c r="Q653" s="16">
        <f t="shared" si="108"/>
        <v>4.39024390243902</v>
      </c>
      <c r="R653" s="16">
        <f t="shared" si="109"/>
        <v>0.58966062593404</v>
      </c>
      <c r="S653" s="16">
        <v>12</v>
      </c>
    </row>
    <row r="654" spans="1:19">
      <c r="A654" s="5" t="s">
        <v>554</v>
      </c>
      <c r="B654" s="7">
        <v>131</v>
      </c>
      <c r="C654" s="7">
        <v>4</v>
      </c>
      <c r="D654" s="6">
        <v>393</v>
      </c>
      <c r="E654" s="7">
        <v>306</v>
      </c>
      <c r="F654" s="6">
        <v>71.6</v>
      </c>
      <c r="G654" s="5" t="s">
        <v>265</v>
      </c>
      <c r="H654" s="6">
        <v>1482</v>
      </c>
      <c r="I654" s="14">
        <f t="shared" si="100"/>
        <v>13478.2178820636</v>
      </c>
      <c r="J654" s="15">
        <f t="shared" si="101"/>
        <v>1595.92906802361</v>
      </c>
      <c r="K654" s="15">
        <f t="shared" si="102"/>
        <v>11882.28881404</v>
      </c>
      <c r="L654" s="15">
        <f t="shared" si="103"/>
        <v>0.118408018180759</v>
      </c>
      <c r="M654" s="15">
        <f t="shared" si="104"/>
        <v>0.134311587018309</v>
      </c>
      <c r="N654" s="16">
        <f t="shared" si="105"/>
        <v>32.75</v>
      </c>
      <c r="O654" s="16">
        <f t="shared" si="106"/>
        <v>488354.294815226</v>
      </c>
      <c r="P654" s="16">
        <f t="shared" si="107"/>
        <v>850771.879085264</v>
      </c>
      <c r="Q654" s="16">
        <f t="shared" si="108"/>
        <v>4.27374301675978</v>
      </c>
      <c r="R654" s="16">
        <f t="shared" si="109"/>
        <v>0.574013207089422</v>
      </c>
      <c r="S654" s="16">
        <v>12</v>
      </c>
    </row>
    <row r="655" spans="1:19">
      <c r="A655" s="5" t="s">
        <v>555</v>
      </c>
      <c r="B655" s="7">
        <v>131</v>
      </c>
      <c r="C655" s="7">
        <v>4</v>
      </c>
      <c r="D655" s="6">
        <v>393</v>
      </c>
      <c r="E655" s="7">
        <v>306</v>
      </c>
      <c r="F655" s="6">
        <v>74.6</v>
      </c>
      <c r="G655" s="5" t="s">
        <v>265</v>
      </c>
      <c r="H655" s="6">
        <v>1496</v>
      </c>
      <c r="I655" s="14">
        <f t="shared" si="100"/>
        <v>13478.2178820636</v>
      </c>
      <c r="J655" s="15">
        <f t="shared" si="101"/>
        <v>1595.92906802361</v>
      </c>
      <c r="K655" s="15">
        <f t="shared" si="102"/>
        <v>11882.28881404</v>
      </c>
      <c r="L655" s="15">
        <f t="shared" si="103"/>
        <v>0.118408018180759</v>
      </c>
      <c r="M655" s="15">
        <f t="shared" si="104"/>
        <v>0.134311587018309</v>
      </c>
      <c r="N655" s="16">
        <f t="shared" si="105"/>
        <v>32.75</v>
      </c>
      <c r="O655" s="16">
        <f t="shared" si="106"/>
        <v>488354.294815226</v>
      </c>
      <c r="P655" s="16">
        <f t="shared" si="107"/>
        <v>886418.745527384</v>
      </c>
      <c r="Q655" s="16">
        <f t="shared" si="108"/>
        <v>4.10187667560322</v>
      </c>
      <c r="R655" s="16">
        <f t="shared" si="109"/>
        <v>0.550929566053654</v>
      </c>
      <c r="S655" s="16">
        <v>12</v>
      </c>
    </row>
    <row r="656" spans="1:19">
      <c r="A656" s="5" t="s">
        <v>556</v>
      </c>
      <c r="B656" s="6">
        <v>131</v>
      </c>
      <c r="C656" s="7">
        <v>4</v>
      </c>
      <c r="D656" s="6">
        <v>393</v>
      </c>
      <c r="E656" s="7">
        <v>306</v>
      </c>
      <c r="F656" s="6">
        <v>76.4</v>
      </c>
      <c r="G656" s="5" t="s">
        <v>265</v>
      </c>
      <c r="H656" s="6">
        <v>1542</v>
      </c>
      <c r="I656" s="14">
        <f t="shared" si="100"/>
        <v>13478.2178820636</v>
      </c>
      <c r="J656" s="15">
        <f t="shared" si="101"/>
        <v>1595.92906802361</v>
      </c>
      <c r="K656" s="15">
        <f t="shared" si="102"/>
        <v>11882.28881404</v>
      </c>
      <c r="L656" s="15">
        <f t="shared" si="103"/>
        <v>0.118408018180759</v>
      </c>
      <c r="M656" s="15">
        <f t="shared" si="104"/>
        <v>0.134311587018309</v>
      </c>
      <c r="N656" s="16">
        <f t="shared" si="105"/>
        <v>32.75</v>
      </c>
      <c r="O656" s="16">
        <f t="shared" si="106"/>
        <v>488354.294815226</v>
      </c>
      <c r="P656" s="16">
        <f t="shared" si="107"/>
        <v>907806.865392656</v>
      </c>
      <c r="Q656" s="16">
        <f t="shared" si="108"/>
        <v>4.00523560209424</v>
      </c>
      <c r="R656" s="16">
        <f t="shared" si="109"/>
        <v>0.537949550099511</v>
      </c>
      <c r="S656" s="16">
        <v>12</v>
      </c>
    </row>
    <row r="657" spans="1:19">
      <c r="A657" s="5" t="s">
        <v>557</v>
      </c>
      <c r="B657" s="6">
        <v>133</v>
      </c>
      <c r="C657" s="6">
        <v>5</v>
      </c>
      <c r="D657" s="6">
        <v>399</v>
      </c>
      <c r="E657" s="6">
        <v>306</v>
      </c>
      <c r="F657" s="6">
        <v>69.7</v>
      </c>
      <c r="G657" s="5" t="s">
        <v>265</v>
      </c>
      <c r="H657" s="6">
        <v>1659</v>
      </c>
      <c r="I657" s="14">
        <f t="shared" si="100"/>
        <v>13892.9081123375</v>
      </c>
      <c r="J657" s="15">
        <f t="shared" si="101"/>
        <v>2010.61929829747</v>
      </c>
      <c r="K657" s="15">
        <f t="shared" si="102"/>
        <v>11882.28881404</v>
      </c>
      <c r="L657" s="15">
        <f t="shared" si="103"/>
        <v>0.14472270902821</v>
      </c>
      <c r="M657" s="15">
        <f t="shared" si="104"/>
        <v>0.169211448212043</v>
      </c>
      <c r="N657" s="16">
        <f t="shared" si="105"/>
        <v>26.6</v>
      </c>
      <c r="O657" s="16">
        <f t="shared" si="106"/>
        <v>615249.505279025</v>
      </c>
      <c r="P657" s="16">
        <f t="shared" si="107"/>
        <v>828195.530338588</v>
      </c>
      <c r="Q657" s="16">
        <f t="shared" si="108"/>
        <v>4.39024390243902</v>
      </c>
      <c r="R657" s="16">
        <f t="shared" si="109"/>
        <v>0.742879528735799</v>
      </c>
      <c r="S657" s="16">
        <v>12</v>
      </c>
    </row>
    <row r="658" spans="1:19">
      <c r="A658" s="5" t="s">
        <v>558</v>
      </c>
      <c r="B658" s="6">
        <v>133</v>
      </c>
      <c r="C658" s="6">
        <v>5</v>
      </c>
      <c r="D658" s="6">
        <v>399</v>
      </c>
      <c r="E658" s="6">
        <v>306</v>
      </c>
      <c r="F658" s="6">
        <v>71.6</v>
      </c>
      <c r="G658" s="5" t="s">
        <v>265</v>
      </c>
      <c r="H658" s="6">
        <v>1673</v>
      </c>
      <c r="I658" s="14">
        <f t="shared" si="100"/>
        <v>13892.9081123375</v>
      </c>
      <c r="J658" s="15">
        <f t="shared" si="101"/>
        <v>2010.61929829747</v>
      </c>
      <c r="K658" s="15">
        <f t="shared" si="102"/>
        <v>11882.28881404</v>
      </c>
      <c r="L658" s="15">
        <f t="shared" si="103"/>
        <v>0.14472270902821</v>
      </c>
      <c r="M658" s="15">
        <f t="shared" si="104"/>
        <v>0.169211448212043</v>
      </c>
      <c r="N658" s="16">
        <f t="shared" si="105"/>
        <v>26.6</v>
      </c>
      <c r="O658" s="16">
        <f t="shared" si="106"/>
        <v>615249.505279025</v>
      </c>
      <c r="P658" s="16">
        <f t="shared" si="107"/>
        <v>850771.879085264</v>
      </c>
      <c r="Q658" s="16">
        <f t="shared" si="108"/>
        <v>4.27374301675978</v>
      </c>
      <c r="R658" s="16">
        <f t="shared" si="109"/>
        <v>0.723166245152028</v>
      </c>
      <c r="S658" s="16">
        <v>12</v>
      </c>
    </row>
    <row r="659" spans="1:19">
      <c r="A659" s="5" t="s">
        <v>559</v>
      </c>
      <c r="B659" s="6">
        <v>133</v>
      </c>
      <c r="C659" s="6">
        <v>5</v>
      </c>
      <c r="D659" s="6">
        <v>399</v>
      </c>
      <c r="E659" s="6">
        <v>306</v>
      </c>
      <c r="F659" s="6">
        <v>74.6</v>
      </c>
      <c r="G659" s="5" t="s">
        <v>265</v>
      </c>
      <c r="H659" s="6">
        <v>1712</v>
      </c>
      <c r="I659" s="14">
        <f t="shared" si="100"/>
        <v>13892.9081123375</v>
      </c>
      <c r="J659" s="15">
        <f t="shared" si="101"/>
        <v>2010.61929829747</v>
      </c>
      <c r="K659" s="15">
        <f t="shared" si="102"/>
        <v>11882.28881404</v>
      </c>
      <c r="L659" s="15">
        <f t="shared" si="103"/>
        <v>0.14472270902821</v>
      </c>
      <c r="M659" s="15">
        <f t="shared" si="104"/>
        <v>0.169211448212043</v>
      </c>
      <c r="N659" s="16">
        <f t="shared" si="105"/>
        <v>26.6</v>
      </c>
      <c r="O659" s="16">
        <f t="shared" si="106"/>
        <v>615249.505279025</v>
      </c>
      <c r="P659" s="16">
        <f t="shared" si="107"/>
        <v>886418.745527384</v>
      </c>
      <c r="Q659" s="16">
        <f t="shared" si="108"/>
        <v>4.10187667560322</v>
      </c>
      <c r="R659" s="16">
        <f t="shared" si="109"/>
        <v>0.694084492666021</v>
      </c>
      <c r="S659" s="16">
        <v>12</v>
      </c>
    </row>
    <row r="660" spans="1:19">
      <c r="A660" s="5" t="s">
        <v>560</v>
      </c>
      <c r="B660" s="6">
        <v>133</v>
      </c>
      <c r="C660" s="6">
        <v>5</v>
      </c>
      <c r="D660" s="6">
        <v>399</v>
      </c>
      <c r="E660" s="6">
        <v>306</v>
      </c>
      <c r="F660" s="6">
        <v>76.4</v>
      </c>
      <c r="G660" s="5" t="s">
        <v>265</v>
      </c>
      <c r="H660" s="6">
        <v>1774</v>
      </c>
      <c r="I660" s="14">
        <f t="shared" si="100"/>
        <v>13892.9081123375</v>
      </c>
      <c r="J660" s="15">
        <f t="shared" si="101"/>
        <v>2010.61929829747</v>
      </c>
      <c r="K660" s="15">
        <f t="shared" si="102"/>
        <v>11882.28881404</v>
      </c>
      <c r="L660" s="15">
        <f t="shared" si="103"/>
        <v>0.14472270902821</v>
      </c>
      <c r="M660" s="15">
        <f t="shared" si="104"/>
        <v>0.169211448212043</v>
      </c>
      <c r="N660" s="16">
        <f t="shared" si="105"/>
        <v>26.6</v>
      </c>
      <c r="O660" s="16">
        <f t="shared" si="106"/>
        <v>615249.505279025</v>
      </c>
      <c r="P660" s="16">
        <f t="shared" si="107"/>
        <v>907806.865392656</v>
      </c>
      <c r="Q660" s="16">
        <f t="shared" si="108"/>
        <v>4.00523560209424</v>
      </c>
      <c r="R660" s="16">
        <f t="shared" si="109"/>
        <v>0.677731716660801</v>
      </c>
      <c r="S660" s="16">
        <v>12</v>
      </c>
    </row>
    <row r="661" spans="1:19">
      <c r="A661" s="5">
        <v>1</v>
      </c>
      <c r="B661" s="6">
        <v>168.8</v>
      </c>
      <c r="C661" s="6">
        <v>2.64</v>
      </c>
      <c r="D661" s="6">
        <v>1830</v>
      </c>
      <c r="E661" s="6">
        <v>200.2</v>
      </c>
      <c r="F661" s="6">
        <v>18.2</v>
      </c>
      <c r="G661" s="5" t="s">
        <v>20</v>
      </c>
      <c r="H661" s="6">
        <v>823</v>
      </c>
      <c r="I661" s="14">
        <f t="shared" si="100"/>
        <v>22378.6954448754</v>
      </c>
      <c r="J661" s="15">
        <f t="shared" si="101"/>
        <v>1378.09857324607</v>
      </c>
      <c r="K661" s="15">
        <f t="shared" si="102"/>
        <v>21000.5968716293</v>
      </c>
      <c r="L661" s="15">
        <f t="shared" si="103"/>
        <v>0.0615808270254487</v>
      </c>
      <c r="M661" s="15">
        <f t="shared" si="104"/>
        <v>0.0656218764480835</v>
      </c>
      <c r="N661" s="16">
        <f t="shared" si="105"/>
        <v>63.9393939393939</v>
      </c>
      <c r="O661" s="16">
        <f t="shared" si="106"/>
        <v>275895.334363863</v>
      </c>
      <c r="P661" s="16">
        <f t="shared" si="107"/>
        <v>382210.863063654</v>
      </c>
      <c r="Q661" s="16">
        <f t="shared" si="108"/>
        <v>11</v>
      </c>
      <c r="R661" s="16">
        <f t="shared" si="109"/>
        <v>0.721840640928918</v>
      </c>
      <c r="S661" s="16">
        <v>43.3649289099526</v>
      </c>
    </row>
    <row r="662" spans="1:19">
      <c r="A662" s="5">
        <v>2</v>
      </c>
      <c r="B662" s="6">
        <v>168.8</v>
      </c>
      <c r="C662" s="6">
        <v>2.64</v>
      </c>
      <c r="D662" s="6">
        <v>1830</v>
      </c>
      <c r="E662" s="6">
        <v>200.2</v>
      </c>
      <c r="F662" s="6">
        <v>34.7</v>
      </c>
      <c r="G662" s="5" t="s">
        <v>20</v>
      </c>
      <c r="H662" s="6">
        <v>916</v>
      </c>
      <c r="I662" s="14">
        <f t="shared" si="100"/>
        <v>22378.6954448754</v>
      </c>
      <c r="J662" s="15">
        <f t="shared" si="101"/>
        <v>1378.09857324607</v>
      </c>
      <c r="K662" s="15">
        <f t="shared" si="102"/>
        <v>21000.5968716293</v>
      </c>
      <c r="L662" s="15">
        <f t="shared" si="103"/>
        <v>0.0615808270254487</v>
      </c>
      <c r="M662" s="15">
        <f t="shared" si="104"/>
        <v>0.0656218764480835</v>
      </c>
      <c r="N662" s="16">
        <f t="shared" si="105"/>
        <v>63.9393939393939</v>
      </c>
      <c r="O662" s="16">
        <f t="shared" si="106"/>
        <v>275895.334363863</v>
      </c>
      <c r="P662" s="16">
        <f t="shared" si="107"/>
        <v>728720.711445538</v>
      </c>
      <c r="Q662" s="16">
        <f t="shared" si="108"/>
        <v>5.76945244956772</v>
      </c>
      <c r="R662" s="16">
        <f t="shared" si="109"/>
        <v>0.378602295818626</v>
      </c>
      <c r="S662" s="16">
        <v>43.3649289099526</v>
      </c>
    </row>
    <row r="663" spans="1:19">
      <c r="A663" s="5">
        <v>3</v>
      </c>
      <c r="B663" s="6">
        <v>169.3</v>
      </c>
      <c r="C663" s="6">
        <v>2.62</v>
      </c>
      <c r="D663" s="6">
        <v>1830</v>
      </c>
      <c r="E663" s="6">
        <v>338.1</v>
      </c>
      <c r="F663" s="6">
        <v>37.1</v>
      </c>
      <c r="G663" s="5" t="s">
        <v>20</v>
      </c>
      <c r="H663" s="6">
        <v>756</v>
      </c>
      <c r="I663" s="14">
        <f t="shared" si="100"/>
        <v>22511.4670043977</v>
      </c>
      <c r="J663" s="15">
        <f t="shared" si="101"/>
        <v>1371.93853837091</v>
      </c>
      <c r="K663" s="15">
        <f t="shared" si="102"/>
        <v>21139.5284660268</v>
      </c>
      <c r="L663" s="15">
        <f t="shared" si="103"/>
        <v>0.0609439863738288</v>
      </c>
      <c r="M663" s="15">
        <f t="shared" si="104"/>
        <v>0.0648992024857955</v>
      </c>
      <c r="N663" s="16">
        <f t="shared" si="105"/>
        <v>64.618320610687</v>
      </c>
      <c r="O663" s="16">
        <f t="shared" si="106"/>
        <v>463852.419823205</v>
      </c>
      <c r="P663" s="16">
        <f t="shared" si="107"/>
        <v>784276.506089595</v>
      </c>
      <c r="Q663" s="16">
        <f t="shared" si="108"/>
        <v>9.11320754716981</v>
      </c>
      <c r="R663" s="16">
        <f t="shared" si="109"/>
        <v>0.591439901898853</v>
      </c>
      <c r="S663" s="16">
        <v>43.2368576491435</v>
      </c>
    </row>
    <row r="664" spans="1:19">
      <c r="A664" s="5">
        <v>4</v>
      </c>
      <c r="B664" s="6">
        <v>169.3</v>
      </c>
      <c r="C664" s="6">
        <v>2.62</v>
      </c>
      <c r="D664" s="6">
        <v>1830</v>
      </c>
      <c r="E664" s="6">
        <v>338.1</v>
      </c>
      <c r="F664" s="6">
        <v>34.1</v>
      </c>
      <c r="G664" s="5" t="s">
        <v>20</v>
      </c>
      <c r="H664" s="6">
        <v>689</v>
      </c>
      <c r="I664" s="14">
        <f t="shared" si="100"/>
        <v>22511.4670043977</v>
      </c>
      <c r="J664" s="15">
        <f t="shared" si="101"/>
        <v>1371.93853837091</v>
      </c>
      <c r="K664" s="15">
        <f t="shared" si="102"/>
        <v>21139.5284660268</v>
      </c>
      <c r="L664" s="15">
        <f t="shared" si="103"/>
        <v>0.0609439863738288</v>
      </c>
      <c r="M664" s="15">
        <f t="shared" si="104"/>
        <v>0.0648992024857955</v>
      </c>
      <c r="N664" s="16">
        <f t="shared" si="105"/>
        <v>64.618320610687</v>
      </c>
      <c r="O664" s="16">
        <f t="shared" si="106"/>
        <v>463852.419823205</v>
      </c>
      <c r="P664" s="16">
        <f t="shared" si="107"/>
        <v>720857.920691515</v>
      </c>
      <c r="Q664" s="16">
        <f t="shared" si="108"/>
        <v>9.91495601173021</v>
      </c>
      <c r="R664" s="16">
        <f t="shared" si="109"/>
        <v>0.643472737843034</v>
      </c>
      <c r="S664" s="16">
        <v>43.2368576491435</v>
      </c>
    </row>
    <row r="665" spans="1:19">
      <c r="A665" s="5">
        <v>5</v>
      </c>
      <c r="B665" s="6">
        <v>168.3</v>
      </c>
      <c r="C665" s="6">
        <v>3.6</v>
      </c>
      <c r="D665" s="6">
        <v>2135</v>
      </c>
      <c r="E665" s="6">
        <v>288.4</v>
      </c>
      <c r="F665" s="6">
        <v>27</v>
      </c>
      <c r="G665" s="5" t="s">
        <v>20</v>
      </c>
      <c r="H665" s="6">
        <v>947</v>
      </c>
      <c r="I665" s="14">
        <f t="shared" si="100"/>
        <v>22246.3165844347</v>
      </c>
      <c r="J665" s="15">
        <f t="shared" si="101"/>
        <v>1862.71311616646</v>
      </c>
      <c r="K665" s="15">
        <f t="shared" si="102"/>
        <v>20383.6034682683</v>
      </c>
      <c r="L665" s="15">
        <f t="shared" si="103"/>
        <v>0.0837313048700276</v>
      </c>
      <c r="M665" s="15">
        <f t="shared" si="104"/>
        <v>0.0913829156393369</v>
      </c>
      <c r="N665" s="16">
        <f t="shared" si="105"/>
        <v>46.75</v>
      </c>
      <c r="O665" s="16">
        <f t="shared" si="106"/>
        <v>537206.462702406</v>
      </c>
      <c r="P665" s="16">
        <f t="shared" si="107"/>
        <v>550357.293643244</v>
      </c>
      <c r="Q665" s="16">
        <f t="shared" si="108"/>
        <v>10.6814814814815</v>
      </c>
      <c r="R665" s="16">
        <f t="shared" si="109"/>
        <v>0.976104921125362</v>
      </c>
      <c r="S665" s="16">
        <v>50.7427213309566</v>
      </c>
    </row>
    <row r="666" spans="1:19">
      <c r="A666" s="5">
        <v>6</v>
      </c>
      <c r="B666" s="6">
        <v>168.3</v>
      </c>
      <c r="C666" s="6">
        <v>3.6</v>
      </c>
      <c r="D666" s="6">
        <v>2135</v>
      </c>
      <c r="E666" s="6">
        <v>288.4</v>
      </c>
      <c r="F666" s="6">
        <v>33.3</v>
      </c>
      <c r="G666" s="5" t="s">
        <v>20</v>
      </c>
      <c r="H666" s="6">
        <v>1050</v>
      </c>
      <c r="I666" s="14">
        <f t="shared" si="100"/>
        <v>22246.3165844347</v>
      </c>
      <c r="J666" s="15">
        <f t="shared" si="101"/>
        <v>1862.71311616646</v>
      </c>
      <c r="K666" s="15">
        <f t="shared" si="102"/>
        <v>20383.6034682683</v>
      </c>
      <c r="L666" s="15">
        <f t="shared" si="103"/>
        <v>0.0837313048700276</v>
      </c>
      <c r="M666" s="15">
        <f t="shared" si="104"/>
        <v>0.0913829156393369</v>
      </c>
      <c r="N666" s="16">
        <f t="shared" si="105"/>
        <v>46.75</v>
      </c>
      <c r="O666" s="16">
        <f t="shared" si="106"/>
        <v>537206.462702406</v>
      </c>
      <c r="P666" s="16">
        <f t="shared" si="107"/>
        <v>678773.995493334</v>
      </c>
      <c r="Q666" s="16">
        <f t="shared" si="108"/>
        <v>8.66066066066066</v>
      </c>
      <c r="R666" s="16">
        <f t="shared" si="109"/>
        <v>0.791436422534077</v>
      </c>
      <c r="S666" s="16">
        <v>50.7427213309566</v>
      </c>
    </row>
    <row r="667" spans="1:19">
      <c r="A667" s="5">
        <v>7</v>
      </c>
      <c r="B667" s="6">
        <v>168.8</v>
      </c>
      <c r="C667" s="6">
        <v>5</v>
      </c>
      <c r="D667" s="6">
        <v>2135</v>
      </c>
      <c r="E667" s="6">
        <v>302.4</v>
      </c>
      <c r="F667" s="6">
        <v>33.4</v>
      </c>
      <c r="G667" s="5" t="s">
        <v>20</v>
      </c>
      <c r="H667" s="6">
        <v>1130</v>
      </c>
      <c r="I667" s="14">
        <f t="shared" si="100"/>
        <v>22378.6954448754</v>
      </c>
      <c r="J667" s="15">
        <f t="shared" si="101"/>
        <v>2572.96438329004</v>
      </c>
      <c r="K667" s="15">
        <f t="shared" si="102"/>
        <v>19805.7310615853</v>
      </c>
      <c r="L667" s="15">
        <f t="shared" si="103"/>
        <v>0.114973832573392</v>
      </c>
      <c r="M667" s="15">
        <f t="shared" si="104"/>
        <v>0.129910093966715</v>
      </c>
      <c r="N667" s="16">
        <f t="shared" si="105"/>
        <v>33.76</v>
      </c>
      <c r="O667" s="16">
        <f t="shared" si="106"/>
        <v>778064.429506908</v>
      </c>
      <c r="P667" s="16">
        <f t="shared" si="107"/>
        <v>661511.417456951</v>
      </c>
      <c r="Q667" s="16">
        <f t="shared" si="108"/>
        <v>9.05389221556886</v>
      </c>
      <c r="R667" s="16">
        <f t="shared" si="109"/>
        <v>1.17619198848906</v>
      </c>
      <c r="S667" s="16">
        <v>50.5924170616114</v>
      </c>
    </row>
    <row r="668" spans="1:19">
      <c r="A668" s="5">
        <v>8</v>
      </c>
      <c r="B668" s="6">
        <v>168.8</v>
      </c>
      <c r="C668" s="6">
        <v>5</v>
      </c>
      <c r="D668" s="6">
        <v>2135</v>
      </c>
      <c r="E668" s="6">
        <v>302.4</v>
      </c>
      <c r="F668" s="6">
        <v>27.8</v>
      </c>
      <c r="G668" s="5" t="s">
        <v>20</v>
      </c>
      <c r="H668" s="6">
        <v>1165</v>
      </c>
      <c r="I668" s="14">
        <f t="shared" si="100"/>
        <v>22378.6954448754</v>
      </c>
      <c r="J668" s="15">
        <f t="shared" si="101"/>
        <v>2572.96438329004</v>
      </c>
      <c r="K668" s="15">
        <f t="shared" si="102"/>
        <v>19805.7310615853</v>
      </c>
      <c r="L668" s="15">
        <f t="shared" si="103"/>
        <v>0.114973832573392</v>
      </c>
      <c r="M668" s="15">
        <f t="shared" si="104"/>
        <v>0.129910093966715</v>
      </c>
      <c r="N668" s="16">
        <f t="shared" si="105"/>
        <v>33.76</v>
      </c>
      <c r="O668" s="16">
        <f t="shared" si="106"/>
        <v>778064.429506908</v>
      </c>
      <c r="P668" s="16">
        <f t="shared" si="107"/>
        <v>550599.323512073</v>
      </c>
      <c r="Q668" s="16">
        <f t="shared" si="108"/>
        <v>10.8776978417266</v>
      </c>
      <c r="R668" s="16">
        <f t="shared" si="109"/>
        <v>1.41312274876024</v>
      </c>
      <c r="S668" s="16">
        <v>50.5924170616114</v>
      </c>
    </row>
    <row r="669" spans="1:19">
      <c r="A669" s="5" t="s">
        <v>561</v>
      </c>
      <c r="B669" s="6">
        <v>96</v>
      </c>
      <c r="C669" s="6">
        <v>5</v>
      </c>
      <c r="D669" s="6">
        <v>450</v>
      </c>
      <c r="E669" s="6">
        <v>410.6</v>
      </c>
      <c r="F669" s="6">
        <v>28.45</v>
      </c>
      <c r="G669" s="5" t="s">
        <v>20</v>
      </c>
      <c r="H669" s="6">
        <v>1044</v>
      </c>
      <c r="I669" s="14">
        <f t="shared" si="100"/>
        <v>7238.22947387088</v>
      </c>
      <c r="J669" s="15">
        <f t="shared" si="101"/>
        <v>1429.42465738336</v>
      </c>
      <c r="K669" s="15">
        <f t="shared" si="102"/>
        <v>5808.80481648753</v>
      </c>
      <c r="L669" s="15">
        <f t="shared" si="103"/>
        <v>0.197482638888889</v>
      </c>
      <c r="M669" s="15">
        <f t="shared" si="104"/>
        <v>0.246078961600865</v>
      </c>
      <c r="N669" s="16">
        <f t="shared" si="105"/>
        <v>19.2</v>
      </c>
      <c r="O669" s="16">
        <f t="shared" si="106"/>
        <v>586921.764321606</v>
      </c>
      <c r="P669" s="16">
        <f t="shared" si="107"/>
        <v>165260.49702907</v>
      </c>
      <c r="Q669" s="16">
        <f t="shared" si="108"/>
        <v>14.4323374340949</v>
      </c>
      <c r="R669" s="16">
        <f t="shared" si="109"/>
        <v>3.55149460925537</v>
      </c>
      <c r="S669" s="16">
        <v>18.75</v>
      </c>
    </row>
    <row r="670" spans="1:19">
      <c r="A670" s="5" t="s">
        <v>562</v>
      </c>
      <c r="B670" s="6">
        <v>96</v>
      </c>
      <c r="C670" s="6">
        <v>5</v>
      </c>
      <c r="D670" s="6">
        <v>450</v>
      </c>
      <c r="E670" s="6">
        <v>410.6</v>
      </c>
      <c r="F670" s="6">
        <v>28.45</v>
      </c>
      <c r="G670" s="5" t="s">
        <v>20</v>
      </c>
      <c r="H670" s="6">
        <v>1166</v>
      </c>
      <c r="I670" s="14">
        <f t="shared" si="100"/>
        <v>7238.22947387088</v>
      </c>
      <c r="J670" s="15">
        <f t="shared" si="101"/>
        <v>1429.42465738336</v>
      </c>
      <c r="K670" s="15">
        <f t="shared" si="102"/>
        <v>5808.80481648753</v>
      </c>
      <c r="L670" s="15">
        <f t="shared" si="103"/>
        <v>0.197482638888889</v>
      </c>
      <c r="M670" s="15">
        <f t="shared" si="104"/>
        <v>0.246078961600865</v>
      </c>
      <c r="N670" s="16">
        <f t="shared" si="105"/>
        <v>19.2</v>
      </c>
      <c r="O670" s="16">
        <f t="shared" si="106"/>
        <v>586921.764321606</v>
      </c>
      <c r="P670" s="16">
        <f t="shared" si="107"/>
        <v>165260.49702907</v>
      </c>
      <c r="Q670" s="16">
        <f t="shared" si="108"/>
        <v>14.4323374340949</v>
      </c>
      <c r="R670" s="16">
        <f t="shared" si="109"/>
        <v>3.55149460925537</v>
      </c>
      <c r="S670" s="16">
        <v>18.75</v>
      </c>
    </row>
    <row r="671" spans="1:19">
      <c r="A671" s="5" t="s">
        <v>563</v>
      </c>
      <c r="B671" s="6">
        <v>200</v>
      </c>
      <c r="C671" s="6">
        <v>3</v>
      </c>
      <c r="D671" s="6">
        <v>2000</v>
      </c>
      <c r="E671" s="6">
        <v>303.5</v>
      </c>
      <c r="F671" s="6">
        <v>46.8</v>
      </c>
      <c r="G671" s="5" t="s">
        <v>20</v>
      </c>
      <c r="H671" s="6">
        <v>1830</v>
      </c>
      <c r="I671" s="14">
        <f t="shared" si="100"/>
        <v>31415.9265358979</v>
      </c>
      <c r="J671" s="15">
        <f t="shared" si="101"/>
        <v>1856.68125827157</v>
      </c>
      <c r="K671" s="15">
        <f t="shared" si="102"/>
        <v>29559.2452776264</v>
      </c>
      <c r="L671" s="15">
        <f t="shared" si="103"/>
        <v>0.0591</v>
      </c>
      <c r="M671" s="15">
        <f t="shared" si="104"/>
        <v>0.0628122010840684</v>
      </c>
      <c r="N671" s="16">
        <f t="shared" si="105"/>
        <v>66.6666666666667</v>
      </c>
      <c r="O671" s="16">
        <f t="shared" si="106"/>
        <v>563502.761885421</v>
      </c>
      <c r="P671" s="16">
        <f t="shared" si="107"/>
        <v>1383372.67899291</v>
      </c>
      <c r="Q671" s="16">
        <f t="shared" si="108"/>
        <v>6.48504273504274</v>
      </c>
      <c r="R671" s="16">
        <f t="shared" si="109"/>
        <v>0.407339808312281</v>
      </c>
      <c r="S671" s="16">
        <v>40</v>
      </c>
    </row>
    <row r="672" spans="1:19">
      <c r="A672" s="5" t="s">
        <v>564</v>
      </c>
      <c r="B672" s="6">
        <v>200</v>
      </c>
      <c r="C672" s="6">
        <v>3</v>
      </c>
      <c r="D672" s="6">
        <v>2001</v>
      </c>
      <c r="E672" s="6">
        <v>303.5</v>
      </c>
      <c r="F672" s="6">
        <v>46.8</v>
      </c>
      <c r="G672" s="5" t="s">
        <v>20</v>
      </c>
      <c r="H672" s="6">
        <v>1806</v>
      </c>
      <c r="I672" s="14">
        <f t="shared" si="100"/>
        <v>31415.9265358979</v>
      </c>
      <c r="J672" s="15">
        <f t="shared" si="101"/>
        <v>1856.68125827157</v>
      </c>
      <c r="K672" s="15">
        <f t="shared" si="102"/>
        <v>29559.2452776264</v>
      </c>
      <c r="L672" s="15">
        <f t="shared" si="103"/>
        <v>0.0591</v>
      </c>
      <c r="M672" s="15">
        <f t="shared" si="104"/>
        <v>0.0628122010840684</v>
      </c>
      <c r="N672" s="16">
        <f t="shared" si="105"/>
        <v>66.6666666666667</v>
      </c>
      <c r="O672" s="16">
        <f t="shared" si="106"/>
        <v>563502.761885421</v>
      </c>
      <c r="P672" s="16">
        <f t="shared" si="107"/>
        <v>1383372.67899291</v>
      </c>
      <c r="Q672" s="16">
        <f t="shared" si="108"/>
        <v>6.48504273504274</v>
      </c>
      <c r="R672" s="16">
        <f t="shared" si="109"/>
        <v>0.407339808312281</v>
      </c>
      <c r="S672" s="16">
        <v>40.02</v>
      </c>
    </row>
    <row r="673" spans="1:19">
      <c r="A673" s="5" t="s">
        <v>565</v>
      </c>
      <c r="B673" s="6">
        <v>200</v>
      </c>
      <c r="C673" s="6">
        <v>3</v>
      </c>
      <c r="D673" s="6">
        <v>2002</v>
      </c>
      <c r="E673" s="6">
        <v>303.5</v>
      </c>
      <c r="F673" s="6">
        <v>46.8</v>
      </c>
      <c r="G673" s="5" t="s">
        <v>20</v>
      </c>
      <c r="H673" s="6">
        <v>1882</v>
      </c>
      <c r="I673" s="14">
        <f t="shared" si="100"/>
        <v>31415.9265358979</v>
      </c>
      <c r="J673" s="15">
        <f t="shared" si="101"/>
        <v>1856.68125827157</v>
      </c>
      <c r="K673" s="15">
        <f t="shared" si="102"/>
        <v>29559.2452776264</v>
      </c>
      <c r="L673" s="15">
        <f t="shared" si="103"/>
        <v>0.0591</v>
      </c>
      <c r="M673" s="15">
        <f t="shared" si="104"/>
        <v>0.0628122010840684</v>
      </c>
      <c r="N673" s="16">
        <f t="shared" si="105"/>
        <v>66.6666666666667</v>
      </c>
      <c r="O673" s="16">
        <f t="shared" si="106"/>
        <v>563502.761885421</v>
      </c>
      <c r="P673" s="16">
        <f t="shared" si="107"/>
        <v>1383372.67899291</v>
      </c>
      <c r="Q673" s="16">
        <f t="shared" si="108"/>
        <v>6.48504273504274</v>
      </c>
      <c r="R673" s="16">
        <f t="shared" si="109"/>
        <v>0.407339808312281</v>
      </c>
      <c r="S673" s="16">
        <v>40.04</v>
      </c>
    </row>
    <row r="674" spans="1:19">
      <c r="A674" s="5" t="s">
        <v>566</v>
      </c>
      <c r="B674" s="6">
        <v>200</v>
      </c>
      <c r="C674" s="6">
        <v>3</v>
      </c>
      <c r="D674" s="6">
        <v>2003</v>
      </c>
      <c r="E674" s="6">
        <v>303.5</v>
      </c>
      <c r="F674" s="6">
        <v>46.8</v>
      </c>
      <c r="G674" s="5" t="s">
        <v>20</v>
      </c>
      <c r="H674" s="6">
        <v>2060</v>
      </c>
      <c r="I674" s="14">
        <f t="shared" si="100"/>
        <v>31415.9265358979</v>
      </c>
      <c r="J674" s="15">
        <f t="shared" si="101"/>
        <v>1856.68125827157</v>
      </c>
      <c r="K674" s="15">
        <f t="shared" si="102"/>
        <v>29559.2452776264</v>
      </c>
      <c r="L674" s="15">
        <f t="shared" si="103"/>
        <v>0.0591</v>
      </c>
      <c r="M674" s="15">
        <f t="shared" si="104"/>
        <v>0.0628122010840684</v>
      </c>
      <c r="N674" s="16">
        <f t="shared" si="105"/>
        <v>66.6666666666667</v>
      </c>
      <c r="O674" s="16">
        <f t="shared" si="106"/>
        <v>563502.761885421</v>
      </c>
      <c r="P674" s="16">
        <f t="shared" si="107"/>
        <v>1383372.67899291</v>
      </c>
      <c r="Q674" s="16">
        <f t="shared" si="108"/>
        <v>6.48504273504274</v>
      </c>
      <c r="R674" s="16">
        <f t="shared" si="109"/>
        <v>0.407339808312281</v>
      </c>
      <c r="S674" s="16">
        <v>40.06</v>
      </c>
    </row>
    <row r="675" spans="1:19">
      <c r="A675" s="5" t="s">
        <v>567</v>
      </c>
      <c r="B675" s="6">
        <v>200</v>
      </c>
      <c r="C675" s="6">
        <v>3</v>
      </c>
      <c r="D675" s="6">
        <v>2004</v>
      </c>
      <c r="E675" s="6">
        <v>303.5</v>
      </c>
      <c r="F675" s="6">
        <v>46.8</v>
      </c>
      <c r="G675" s="5" t="s">
        <v>20</v>
      </c>
      <c r="H675" s="6">
        <v>2115</v>
      </c>
      <c r="I675" s="14">
        <f t="shared" si="100"/>
        <v>31415.9265358979</v>
      </c>
      <c r="J675" s="15">
        <f t="shared" si="101"/>
        <v>1856.68125827157</v>
      </c>
      <c r="K675" s="15">
        <f t="shared" si="102"/>
        <v>29559.2452776264</v>
      </c>
      <c r="L675" s="15">
        <f t="shared" si="103"/>
        <v>0.0591</v>
      </c>
      <c r="M675" s="15">
        <f t="shared" si="104"/>
        <v>0.0628122010840684</v>
      </c>
      <c r="N675" s="16">
        <f t="shared" si="105"/>
        <v>66.6666666666667</v>
      </c>
      <c r="O675" s="16">
        <f t="shared" si="106"/>
        <v>563502.761885421</v>
      </c>
      <c r="P675" s="16">
        <f t="shared" si="107"/>
        <v>1383372.67899291</v>
      </c>
      <c r="Q675" s="16">
        <f t="shared" si="108"/>
        <v>6.48504273504274</v>
      </c>
      <c r="R675" s="16">
        <f t="shared" si="109"/>
        <v>0.407339808312281</v>
      </c>
      <c r="S675" s="16">
        <v>40.08</v>
      </c>
    </row>
    <row r="676" spans="1:19">
      <c r="A676" s="5">
        <v>7</v>
      </c>
      <c r="B676" s="6">
        <v>95</v>
      </c>
      <c r="C676" s="6">
        <v>12.5</v>
      </c>
      <c r="D676" s="6">
        <v>1420</v>
      </c>
      <c r="E676" s="6">
        <v>279</v>
      </c>
      <c r="F676" s="6">
        <v>20.6</v>
      </c>
      <c r="G676" s="5" t="s">
        <v>20</v>
      </c>
      <c r="H676" s="6">
        <v>947</v>
      </c>
      <c r="I676" s="14">
        <f t="shared" si="100"/>
        <v>7088.21842466197</v>
      </c>
      <c r="J676" s="15">
        <f t="shared" si="101"/>
        <v>3239.76742401447</v>
      </c>
      <c r="K676" s="15">
        <f t="shared" si="102"/>
        <v>3848.4510006475</v>
      </c>
      <c r="L676" s="15">
        <f t="shared" si="103"/>
        <v>0.457063711911357</v>
      </c>
      <c r="M676" s="15">
        <f t="shared" si="104"/>
        <v>0.841836734693878</v>
      </c>
      <c r="N676" s="16">
        <f t="shared" si="105"/>
        <v>7.6</v>
      </c>
      <c r="O676" s="16">
        <f t="shared" si="106"/>
        <v>903895.111300038</v>
      </c>
      <c r="P676" s="16">
        <f t="shared" si="107"/>
        <v>79278.0906133384</v>
      </c>
      <c r="Q676" s="16">
        <f t="shared" si="108"/>
        <v>13.5436893203883</v>
      </c>
      <c r="R676" s="16">
        <f t="shared" si="109"/>
        <v>11.4015751931841</v>
      </c>
      <c r="S676" s="16">
        <v>59.7894736842105</v>
      </c>
    </row>
    <row r="677" spans="1:19">
      <c r="A677" s="5">
        <v>8</v>
      </c>
      <c r="B677" s="6">
        <v>95</v>
      </c>
      <c r="C677" s="6">
        <v>12.75</v>
      </c>
      <c r="D677" s="6">
        <v>1420</v>
      </c>
      <c r="E677" s="6">
        <v>277</v>
      </c>
      <c r="F677" s="6">
        <v>20.6</v>
      </c>
      <c r="G677" s="5" t="s">
        <v>20</v>
      </c>
      <c r="H677" s="6">
        <v>938</v>
      </c>
      <c r="I677" s="14">
        <f t="shared" si="100"/>
        <v>7088.21842466197</v>
      </c>
      <c r="J677" s="15">
        <f t="shared" si="101"/>
        <v>3294.54894591145</v>
      </c>
      <c r="K677" s="15">
        <f t="shared" si="102"/>
        <v>3793.66947875052</v>
      </c>
      <c r="L677" s="15">
        <f t="shared" si="103"/>
        <v>0.464792243767313</v>
      </c>
      <c r="M677" s="15">
        <f t="shared" si="104"/>
        <v>0.868433310905233</v>
      </c>
      <c r="N677" s="16">
        <f t="shared" si="105"/>
        <v>7.45098039215686</v>
      </c>
      <c r="O677" s="16">
        <f t="shared" si="106"/>
        <v>912590.058017471</v>
      </c>
      <c r="P677" s="16">
        <f t="shared" si="107"/>
        <v>78149.5912622608</v>
      </c>
      <c r="Q677" s="16">
        <f t="shared" si="108"/>
        <v>13.4466019417476</v>
      </c>
      <c r="R677" s="16">
        <f t="shared" si="109"/>
        <v>11.6774770446966</v>
      </c>
      <c r="S677" s="16">
        <v>59.7894736842105</v>
      </c>
    </row>
    <row r="678" spans="1:19">
      <c r="A678" s="5">
        <v>9</v>
      </c>
      <c r="B678" s="6">
        <v>95</v>
      </c>
      <c r="C678" s="6">
        <v>12.4</v>
      </c>
      <c r="D678" s="6">
        <v>1420</v>
      </c>
      <c r="E678" s="6">
        <v>277</v>
      </c>
      <c r="F678" s="6">
        <v>20.6</v>
      </c>
      <c r="G678" s="5" t="s">
        <v>20</v>
      </c>
      <c r="H678" s="6">
        <v>907</v>
      </c>
      <c r="I678" s="14">
        <f t="shared" si="100"/>
        <v>7088.21842466197</v>
      </c>
      <c r="J678" s="15">
        <f t="shared" si="101"/>
        <v>3217.74485951281</v>
      </c>
      <c r="K678" s="15">
        <f t="shared" si="102"/>
        <v>3870.47356514916</v>
      </c>
      <c r="L678" s="15">
        <f t="shared" si="103"/>
        <v>0.453956786703601</v>
      </c>
      <c r="M678" s="15">
        <f t="shared" si="104"/>
        <v>0.831356888336945</v>
      </c>
      <c r="N678" s="16">
        <f t="shared" si="105"/>
        <v>7.66129032258065</v>
      </c>
      <c r="O678" s="16">
        <f t="shared" si="106"/>
        <v>891315.326085048</v>
      </c>
      <c r="P678" s="16">
        <f t="shared" si="107"/>
        <v>79731.7554420727</v>
      </c>
      <c r="Q678" s="16">
        <f t="shared" si="108"/>
        <v>13.4466019417476</v>
      </c>
      <c r="R678" s="16">
        <f t="shared" si="109"/>
        <v>11.1789251489968</v>
      </c>
      <c r="S678" s="16">
        <v>59.7894736842105</v>
      </c>
    </row>
    <row r="679" spans="1:19">
      <c r="A679" s="5">
        <v>10</v>
      </c>
      <c r="B679" s="6">
        <v>95</v>
      </c>
      <c r="C679" s="6">
        <v>12.6</v>
      </c>
      <c r="D679" s="6">
        <v>860</v>
      </c>
      <c r="E679" s="6">
        <v>279</v>
      </c>
      <c r="F679" s="6">
        <v>20.6</v>
      </c>
      <c r="G679" s="5" t="s">
        <v>20</v>
      </c>
      <c r="H679" s="6">
        <v>1018</v>
      </c>
      <c r="I679" s="14">
        <f t="shared" si="100"/>
        <v>7088.21842466197</v>
      </c>
      <c r="J679" s="15">
        <f t="shared" si="101"/>
        <v>3261.72715666307</v>
      </c>
      <c r="K679" s="15">
        <f t="shared" si="102"/>
        <v>3826.4912679989</v>
      </c>
      <c r="L679" s="15">
        <f t="shared" si="103"/>
        <v>0.460161772853186</v>
      </c>
      <c r="M679" s="15">
        <f t="shared" si="104"/>
        <v>0.852406794689699</v>
      </c>
      <c r="N679" s="16">
        <f t="shared" si="105"/>
        <v>7.53968253968254</v>
      </c>
      <c r="O679" s="16">
        <f t="shared" si="106"/>
        <v>910021.876708996</v>
      </c>
      <c r="P679" s="16">
        <f t="shared" si="107"/>
        <v>78825.7201207774</v>
      </c>
      <c r="Q679" s="16">
        <f t="shared" si="108"/>
        <v>13.5436893203883</v>
      </c>
      <c r="R679" s="16">
        <f t="shared" si="109"/>
        <v>11.5447328018653</v>
      </c>
      <c r="S679" s="16">
        <v>36.2105263157895</v>
      </c>
    </row>
    <row r="680" spans="1:19">
      <c r="A680" s="5">
        <v>11</v>
      </c>
      <c r="B680" s="6">
        <v>95</v>
      </c>
      <c r="C680" s="6">
        <v>12.7</v>
      </c>
      <c r="D680" s="6">
        <v>860</v>
      </c>
      <c r="E680" s="6">
        <v>277</v>
      </c>
      <c r="F680" s="6">
        <v>20.6</v>
      </c>
      <c r="G680" s="5" t="s">
        <v>20</v>
      </c>
      <c r="H680" s="6">
        <v>1008</v>
      </c>
      <c r="I680" s="14">
        <f t="shared" si="100"/>
        <v>7088.21842466197</v>
      </c>
      <c r="J680" s="15">
        <f t="shared" si="101"/>
        <v>3283.62405745859</v>
      </c>
      <c r="K680" s="15">
        <f t="shared" si="102"/>
        <v>3804.59436720338</v>
      </c>
      <c r="L680" s="15">
        <f t="shared" si="103"/>
        <v>0.463250969529086</v>
      </c>
      <c r="M680" s="15">
        <f t="shared" si="104"/>
        <v>0.863068106751222</v>
      </c>
      <c r="N680" s="16">
        <f t="shared" si="105"/>
        <v>7.48031496062992</v>
      </c>
      <c r="O680" s="16">
        <f t="shared" si="106"/>
        <v>909563.863916029</v>
      </c>
      <c r="P680" s="16">
        <f t="shared" si="107"/>
        <v>78374.6439643897</v>
      </c>
      <c r="Q680" s="16">
        <f t="shared" si="108"/>
        <v>13.4466019417476</v>
      </c>
      <c r="R680" s="16">
        <f t="shared" si="109"/>
        <v>11.6053332801014</v>
      </c>
      <c r="S680" s="16">
        <v>36.2105263157895</v>
      </c>
    </row>
    <row r="681" spans="1:19">
      <c r="A681" s="5">
        <v>12</v>
      </c>
      <c r="B681" s="6">
        <v>95</v>
      </c>
      <c r="C681" s="6">
        <v>12.7</v>
      </c>
      <c r="D681" s="6">
        <v>860</v>
      </c>
      <c r="E681" s="6">
        <v>277</v>
      </c>
      <c r="F681" s="6">
        <v>20.6</v>
      </c>
      <c r="G681" s="5" t="s">
        <v>20</v>
      </c>
      <c r="H681" s="6">
        <v>1034</v>
      </c>
      <c r="I681" s="14">
        <f t="shared" si="100"/>
        <v>7088.21842466197</v>
      </c>
      <c r="J681" s="15">
        <f t="shared" si="101"/>
        <v>3283.62405745859</v>
      </c>
      <c r="K681" s="15">
        <f t="shared" si="102"/>
        <v>3804.59436720338</v>
      </c>
      <c r="L681" s="15">
        <f t="shared" si="103"/>
        <v>0.463250969529086</v>
      </c>
      <c r="M681" s="15">
        <f t="shared" si="104"/>
        <v>0.863068106751222</v>
      </c>
      <c r="N681" s="16">
        <f t="shared" si="105"/>
        <v>7.48031496062992</v>
      </c>
      <c r="O681" s="16">
        <f t="shared" si="106"/>
        <v>909563.863916029</v>
      </c>
      <c r="P681" s="16">
        <f t="shared" si="107"/>
        <v>78374.6439643897</v>
      </c>
      <c r="Q681" s="16">
        <f t="shared" si="108"/>
        <v>13.4466019417476</v>
      </c>
      <c r="R681" s="16">
        <f t="shared" si="109"/>
        <v>11.6053332801014</v>
      </c>
      <c r="S681" s="16">
        <v>36.2105263157895</v>
      </c>
    </row>
    <row r="682" spans="1:19">
      <c r="A682" s="5">
        <v>13</v>
      </c>
      <c r="B682" s="6">
        <v>95</v>
      </c>
      <c r="C682" s="6">
        <v>12.8</v>
      </c>
      <c r="D682" s="6">
        <v>1980</v>
      </c>
      <c r="E682" s="6">
        <v>283</v>
      </c>
      <c r="F682" s="6">
        <v>20.6</v>
      </c>
      <c r="G682" s="5" t="s">
        <v>20</v>
      </c>
      <c r="H682" s="6">
        <v>886</v>
      </c>
      <c r="I682" s="14">
        <f t="shared" si="100"/>
        <v>7088.21842466197</v>
      </c>
      <c r="J682" s="15">
        <f t="shared" si="101"/>
        <v>3305.45812640104</v>
      </c>
      <c r="K682" s="15">
        <f t="shared" si="102"/>
        <v>3782.76029826093</v>
      </c>
      <c r="L682" s="15">
        <f t="shared" si="103"/>
        <v>0.466331301939058</v>
      </c>
      <c r="M682" s="15">
        <f t="shared" si="104"/>
        <v>0.873821724289712</v>
      </c>
      <c r="N682" s="16">
        <f t="shared" si="105"/>
        <v>7.421875</v>
      </c>
      <c r="O682" s="16">
        <f t="shared" si="106"/>
        <v>935444.649771493</v>
      </c>
      <c r="P682" s="16">
        <f t="shared" si="107"/>
        <v>77924.8621441753</v>
      </c>
      <c r="Q682" s="16">
        <f t="shared" si="108"/>
        <v>13.7378640776699</v>
      </c>
      <c r="R682" s="16">
        <f t="shared" si="109"/>
        <v>12.0044440764072</v>
      </c>
      <c r="S682" s="16">
        <v>83.3684210526316</v>
      </c>
    </row>
    <row r="683" spans="1:19">
      <c r="A683" s="5">
        <v>14</v>
      </c>
      <c r="B683" s="6">
        <v>95</v>
      </c>
      <c r="C683" s="6">
        <v>12.5</v>
      </c>
      <c r="D683" s="6">
        <v>1980</v>
      </c>
      <c r="E683" s="6">
        <v>280</v>
      </c>
      <c r="F683" s="6">
        <v>20.6</v>
      </c>
      <c r="G683" s="5" t="s">
        <v>20</v>
      </c>
      <c r="H683" s="6">
        <v>907</v>
      </c>
      <c r="I683" s="14">
        <f t="shared" si="100"/>
        <v>7088.21842466197</v>
      </c>
      <c r="J683" s="15">
        <f t="shared" si="101"/>
        <v>3239.76742401447</v>
      </c>
      <c r="K683" s="15">
        <f t="shared" si="102"/>
        <v>3848.4510006475</v>
      </c>
      <c r="L683" s="15">
        <f t="shared" si="103"/>
        <v>0.457063711911357</v>
      </c>
      <c r="M683" s="15">
        <f t="shared" si="104"/>
        <v>0.841836734693878</v>
      </c>
      <c r="N683" s="16">
        <f t="shared" si="105"/>
        <v>7.6</v>
      </c>
      <c r="O683" s="16">
        <f t="shared" si="106"/>
        <v>907134.878724053</v>
      </c>
      <c r="P683" s="16">
        <f t="shared" si="107"/>
        <v>79278.0906133384</v>
      </c>
      <c r="Q683" s="16">
        <f t="shared" si="108"/>
        <v>13.5922330097087</v>
      </c>
      <c r="R683" s="16">
        <f t="shared" si="109"/>
        <v>11.4424410540915</v>
      </c>
      <c r="S683" s="16">
        <v>83.3684210526316</v>
      </c>
    </row>
    <row r="684" spans="1:19">
      <c r="A684" s="5">
        <v>15</v>
      </c>
      <c r="B684" s="6">
        <v>95</v>
      </c>
      <c r="C684" s="6">
        <v>12.6</v>
      </c>
      <c r="D684" s="6">
        <v>1980</v>
      </c>
      <c r="E684" s="6">
        <v>294</v>
      </c>
      <c r="F684" s="6">
        <v>20.6</v>
      </c>
      <c r="G684" s="5" t="s">
        <v>20</v>
      </c>
      <c r="H684" s="6">
        <v>917</v>
      </c>
      <c r="I684" s="14">
        <f t="shared" si="100"/>
        <v>7088.21842466197</v>
      </c>
      <c r="J684" s="15">
        <f t="shared" si="101"/>
        <v>3261.72715666307</v>
      </c>
      <c r="K684" s="15">
        <f t="shared" si="102"/>
        <v>3826.4912679989</v>
      </c>
      <c r="L684" s="15">
        <f t="shared" si="103"/>
        <v>0.460161772853186</v>
      </c>
      <c r="M684" s="15">
        <f t="shared" si="104"/>
        <v>0.852406794689699</v>
      </c>
      <c r="N684" s="16">
        <f t="shared" si="105"/>
        <v>7.53968253968254</v>
      </c>
      <c r="O684" s="16">
        <f t="shared" si="106"/>
        <v>958947.784058942</v>
      </c>
      <c r="P684" s="16">
        <f t="shared" si="107"/>
        <v>78825.7201207774</v>
      </c>
      <c r="Q684" s="16">
        <f t="shared" si="108"/>
        <v>14.2718446601942</v>
      </c>
      <c r="R684" s="16">
        <f t="shared" si="109"/>
        <v>12.1654173611054</v>
      </c>
      <c r="S684" s="16">
        <v>83.3684210526316</v>
      </c>
    </row>
    <row r="685" spans="1:19">
      <c r="A685" s="5">
        <v>41</v>
      </c>
      <c r="B685" s="6">
        <v>95</v>
      </c>
      <c r="C685" s="6">
        <v>3.66</v>
      </c>
      <c r="D685" s="6">
        <v>860</v>
      </c>
      <c r="E685" s="6">
        <v>332</v>
      </c>
      <c r="F685" s="6">
        <v>25.3</v>
      </c>
      <c r="G685" s="5" t="s">
        <v>20</v>
      </c>
      <c r="H685" s="6">
        <v>656</v>
      </c>
      <c r="I685" s="14">
        <f t="shared" si="100"/>
        <v>7088.21842466197</v>
      </c>
      <c r="J685" s="15">
        <f t="shared" si="101"/>
        <v>1050.24824710274</v>
      </c>
      <c r="K685" s="15">
        <f t="shared" si="102"/>
        <v>6037.97017755923</v>
      </c>
      <c r="L685" s="15">
        <f t="shared" si="103"/>
        <v>0.148168155124654</v>
      </c>
      <c r="M685" s="15">
        <f t="shared" si="104"/>
        <v>0.173940615176621</v>
      </c>
      <c r="N685" s="16">
        <f t="shared" si="105"/>
        <v>25.9562841530055</v>
      </c>
      <c r="O685" s="16">
        <f t="shared" si="106"/>
        <v>348682.418038111</v>
      </c>
      <c r="P685" s="16">
        <f t="shared" si="107"/>
        <v>152760.645492248</v>
      </c>
      <c r="Q685" s="16">
        <f t="shared" si="108"/>
        <v>13.1225296442688</v>
      </c>
      <c r="R685" s="16">
        <f t="shared" si="109"/>
        <v>2.28254087899755</v>
      </c>
      <c r="S685" s="16">
        <v>36.2105263157895</v>
      </c>
    </row>
    <row r="686" spans="1:19">
      <c r="A686" s="5">
        <v>42</v>
      </c>
      <c r="B686" s="6">
        <v>95</v>
      </c>
      <c r="C686" s="6">
        <v>3.68</v>
      </c>
      <c r="D686" s="6">
        <v>860</v>
      </c>
      <c r="E686" s="6">
        <v>392</v>
      </c>
      <c r="F686" s="6">
        <v>25.3</v>
      </c>
      <c r="G686" s="5" t="s">
        <v>20</v>
      </c>
      <c r="H686" s="6">
        <v>686</v>
      </c>
      <c r="I686" s="14">
        <f t="shared" si="100"/>
        <v>7088.21842466197</v>
      </c>
      <c r="J686" s="15">
        <f t="shared" si="101"/>
        <v>1055.75608734302</v>
      </c>
      <c r="K686" s="15">
        <f t="shared" si="102"/>
        <v>6032.46233731895</v>
      </c>
      <c r="L686" s="15">
        <f t="shared" si="103"/>
        <v>0.1489451966759</v>
      </c>
      <c r="M686" s="15">
        <f t="shared" si="104"/>
        <v>0.175012462292841</v>
      </c>
      <c r="N686" s="16">
        <f t="shared" si="105"/>
        <v>25.8152173913043</v>
      </c>
      <c r="O686" s="16">
        <f t="shared" si="106"/>
        <v>413856.386238463</v>
      </c>
      <c r="P686" s="16">
        <f t="shared" si="107"/>
        <v>152621.29713417</v>
      </c>
      <c r="Q686" s="16">
        <f t="shared" si="108"/>
        <v>15.4940711462451</v>
      </c>
      <c r="R686" s="16">
        <f t="shared" si="109"/>
        <v>2.71165554224481</v>
      </c>
      <c r="S686" s="16">
        <v>36.2105263157895</v>
      </c>
    </row>
    <row r="687" spans="1:19">
      <c r="A687" s="5">
        <v>43</v>
      </c>
      <c r="B687" s="6">
        <v>95</v>
      </c>
      <c r="C687" s="6">
        <v>3.4</v>
      </c>
      <c r="D687" s="6">
        <v>860</v>
      </c>
      <c r="E687" s="6">
        <v>340</v>
      </c>
      <c r="F687" s="6">
        <v>25.3</v>
      </c>
      <c r="G687" s="5" t="s">
        <v>20</v>
      </c>
      <c r="H687" s="6">
        <v>656</v>
      </c>
      <c r="I687" s="14">
        <f t="shared" si="100"/>
        <v>7088.21842466197</v>
      </c>
      <c r="J687" s="15">
        <f t="shared" si="101"/>
        <v>978.417616034005</v>
      </c>
      <c r="K687" s="15">
        <f t="shared" si="102"/>
        <v>6109.80080862797</v>
      </c>
      <c r="L687" s="15">
        <f t="shared" si="103"/>
        <v>0.138034349030471</v>
      </c>
      <c r="M687" s="15">
        <f t="shared" si="104"/>
        <v>0.16013903671824</v>
      </c>
      <c r="N687" s="16">
        <f t="shared" si="105"/>
        <v>27.9411764705882</v>
      </c>
      <c r="O687" s="16">
        <f t="shared" si="106"/>
        <v>332661.989451562</v>
      </c>
      <c r="P687" s="16">
        <f t="shared" si="107"/>
        <v>154577.960458288</v>
      </c>
      <c r="Q687" s="16">
        <f t="shared" si="108"/>
        <v>13.4387351778656</v>
      </c>
      <c r="R687" s="16">
        <f t="shared" si="109"/>
        <v>2.15206610609492</v>
      </c>
      <c r="S687" s="16">
        <v>36.2105263157895</v>
      </c>
    </row>
    <row r="688" spans="1:19">
      <c r="A688" s="5">
        <v>44</v>
      </c>
      <c r="B688" s="6">
        <v>95</v>
      </c>
      <c r="C688" s="6">
        <v>3.86</v>
      </c>
      <c r="D688" s="6">
        <v>1420</v>
      </c>
      <c r="E688" s="6">
        <v>332</v>
      </c>
      <c r="F688" s="6">
        <v>25.3</v>
      </c>
      <c r="G688" s="5" t="s">
        <v>20</v>
      </c>
      <c r="H688" s="6">
        <v>567</v>
      </c>
      <c r="I688" s="14">
        <f t="shared" si="100"/>
        <v>7088.21842466197</v>
      </c>
      <c r="J688" s="15">
        <f t="shared" si="101"/>
        <v>1105.21355216995</v>
      </c>
      <c r="K688" s="15">
        <f t="shared" si="102"/>
        <v>5983.00487249202</v>
      </c>
      <c r="L688" s="15">
        <f t="shared" si="103"/>
        <v>0.155922614958449</v>
      </c>
      <c r="M688" s="15">
        <f t="shared" si="104"/>
        <v>0.184725497592585</v>
      </c>
      <c r="N688" s="16">
        <f t="shared" si="105"/>
        <v>24.6113989637306</v>
      </c>
      <c r="O688" s="16">
        <f t="shared" si="106"/>
        <v>366930.899320423</v>
      </c>
      <c r="P688" s="16">
        <f t="shared" si="107"/>
        <v>151370.023274048</v>
      </c>
      <c r="Q688" s="16">
        <f t="shared" si="108"/>
        <v>13.1225296442688</v>
      </c>
      <c r="R688" s="16">
        <f t="shared" si="109"/>
        <v>2.424065818211</v>
      </c>
      <c r="S688" s="16">
        <v>59.7894736842105</v>
      </c>
    </row>
    <row r="689" spans="1:19">
      <c r="A689" s="5">
        <v>45</v>
      </c>
      <c r="B689" s="6">
        <v>95</v>
      </c>
      <c r="C689" s="6">
        <v>3.91</v>
      </c>
      <c r="D689" s="6">
        <v>1420</v>
      </c>
      <c r="E689" s="6">
        <v>392</v>
      </c>
      <c r="F689" s="6">
        <v>25.3</v>
      </c>
      <c r="G689" s="5" t="s">
        <v>20</v>
      </c>
      <c r="H689" s="6">
        <v>606</v>
      </c>
      <c r="I689" s="14">
        <f t="shared" si="100"/>
        <v>7088.21842466197</v>
      </c>
      <c r="J689" s="15">
        <f t="shared" si="101"/>
        <v>1118.91560852858</v>
      </c>
      <c r="K689" s="15">
        <f t="shared" si="102"/>
        <v>5969.30281613339</v>
      </c>
      <c r="L689" s="15">
        <f t="shared" si="103"/>
        <v>0.157855689750692</v>
      </c>
      <c r="M689" s="15">
        <f t="shared" si="104"/>
        <v>0.187444940053043</v>
      </c>
      <c r="N689" s="16">
        <f t="shared" si="105"/>
        <v>24.2966751918159</v>
      </c>
      <c r="O689" s="16">
        <f t="shared" si="106"/>
        <v>438614.918543204</v>
      </c>
      <c r="P689" s="16">
        <f t="shared" si="107"/>
        <v>151023.361248175</v>
      </c>
      <c r="Q689" s="16">
        <f t="shared" si="108"/>
        <v>15.4940711462451</v>
      </c>
      <c r="R689" s="16">
        <f t="shared" si="109"/>
        <v>2.90428523718548</v>
      </c>
      <c r="S689" s="16">
        <v>59.7894736842105</v>
      </c>
    </row>
    <row r="690" spans="1:19">
      <c r="A690" s="5">
        <v>46</v>
      </c>
      <c r="B690" s="6">
        <v>95</v>
      </c>
      <c r="C690" s="6">
        <v>3.58</v>
      </c>
      <c r="D690" s="6">
        <v>1420</v>
      </c>
      <c r="E690" s="6">
        <v>340</v>
      </c>
      <c r="F690" s="6">
        <v>25.3</v>
      </c>
      <c r="G690" s="5" t="s">
        <v>20</v>
      </c>
      <c r="H690" s="6">
        <v>576</v>
      </c>
      <c r="I690" s="14">
        <f t="shared" si="100"/>
        <v>7088.21842466197</v>
      </c>
      <c r="J690" s="15">
        <f t="shared" si="101"/>
        <v>1028.19175340042</v>
      </c>
      <c r="K690" s="15">
        <f t="shared" si="102"/>
        <v>6060.02667126155</v>
      </c>
      <c r="L690" s="15">
        <f t="shared" si="103"/>
        <v>0.145056443213296</v>
      </c>
      <c r="M690" s="15">
        <f t="shared" si="104"/>
        <v>0.169667859429796</v>
      </c>
      <c r="N690" s="16">
        <f t="shared" si="105"/>
        <v>26.536312849162</v>
      </c>
      <c r="O690" s="16">
        <f t="shared" si="106"/>
        <v>349585.196156143</v>
      </c>
      <c r="P690" s="16">
        <f t="shared" si="107"/>
        <v>153318.674782917</v>
      </c>
      <c r="Q690" s="16">
        <f t="shared" si="108"/>
        <v>13.4387351778656</v>
      </c>
      <c r="R690" s="16">
        <f t="shared" si="109"/>
        <v>2.28012143107236</v>
      </c>
      <c r="S690" s="16">
        <v>59.7894736842105</v>
      </c>
    </row>
    <row r="691" spans="1:19">
      <c r="A691" s="5">
        <v>47</v>
      </c>
      <c r="B691" s="6">
        <v>95</v>
      </c>
      <c r="C691" s="6">
        <v>3.76</v>
      </c>
      <c r="D691" s="6">
        <v>1980</v>
      </c>
      <c r="E691" s="6">
        <v>332</v>
      </c>
      <c r="F691" s="6">
        <v>25.3</v>
      </c>
      <c r="G691" s="5" t="s">
        <v>20</v>
      </c>
      <c r="H691" s="6">
        <v>536</v>
      </c>
      <c r="I691" s="14">
        <f t="shared" si="100"/>
        <v>7088.21842466197</v>
      </c>
      <c r="J691" s="15">
        <f t="shared" si="101"/>
        <v>1077.76231556288</v>
      </c>
      <c r="K691" s="15">
        <f t="shared" si="102"/>
        <v>6010.45610909909</v>
      </c>
      <c r="L691" s="15">
        <f t="shared" si="103"/>
        <v>0.152049817174515</v>
      </c>
      <c r="M691" s="15">
        <f t="shared" si="104"/>
        <v>0.179314563820087</v>
      </c>
      <c r="N691" s="16">
        <f t="shared" si="105"/>
        <v>25.2659574468085</v>
      </c>
      <c r="O691" s="16">
        <f t="shared" si="106"/>
        <v>357817.088766877</v>
      </c>
      <c r="P691" s="16">
        <f t="shared" si="107"/>
        <v>152064.539560207</v>
      </c>
      <c r="Q691" s="16">
        <f t="shared" si="108"/>
        <v>13.1225296442688</v>
      </c>
      <c r="R691" s="16">
        <f t="shared" si="109"/>
        <v>2.35306067937822</v>
      </c>
      <c r="S691" s="16">
        <v>83.3684210526316</v>
      </c>
    </row>
    <row r="692" spans="1:19">
      <c r="A692" s="5">
        <v>48</v>
      </c>
      <c r="B692" s="6">
        <v>95</v>
      </c>
      <c r="C692" s="6">
        <v>3.78</v>
      </c>
      <c r="D692" s="6">
        <v>1980</v>
      </c>
      <c r="E692" s="6">
        <v>392</v>
      </c>
      <c r="F692" s="6">
        <v>25.3</v>
      </c>
      <c r="G692" s="5" t="s">
        <v>20</v>
      </c>
      <c r="H692" s="6">
        <v>567</v>
      </c>
      <c r="I692" s="14">
        <f t="shared" si="100"/>
        <v>7088.21842466197</v>
      </c>
      <c r="J692" s="15">
        <f t="shared" si="101"/>
        <v>1083.25758943254</v>
      </c>
      <c r="K692" s="15">
        <f t="shared" si="102"/>
        <v>6004.96083522943</v>
      </c>
      <c r="L692" s="15">
        <f t="shared" si="103"/>
        <v>0.152825085872576</v>
      </c>
      <c r="M692" s="15">
        <f t="shared" si="104"/>
        <v>0.180393780934819</v>
      </c>
      <c r="N692" s="16">
        <f t="shared" si="105"/>
        <v>25.1322751322751</v>
      </c>
      <c r="O692" s="16">
        <f t="shared" si="106"/>
        <v>424636.975057557</v>
      </c>
      <c r="P692" s="16">
        <f t="shared" si="107"/>
        <v>151925.509131305</v>
      </c>
      <c r="Q692" s="16">
        <f t="shared" si="108"/>
        <v>15.4940711462451</v>
      </c>
      <c r="R692" s="16">
        <f t="shared" si="109"/>
        <v>2.79503407614422</v>
      </c>
      <c r="S692" s="16">
        <v>83.3684210526316</v>
      </c>
    </row>
    <row r="693" spans="1:19">
      <c r="A693" s="5">
        <v>49</v>
      </c>
      <c r="B693" s="6">
        <v>95</v>
      </c>
      <c r="C693" s="6">
        <v>3.51</v>
      </c>
      <c r="D693" s="6">
        <v>1980</v>
      </c>
      <c r="E693" s="6">
        <v>340</v>
      </c>
      <c r="F693" s="6">
        <v>25.3</v>
      </c>
      <c r="G693" s="5" t="s">
        <v>20</v>
      </c>
      <c r="H693" s="6">
        <v>488</v>
      </c>
      <c r="I693" s="14">
        <f t="shared" si="100"/>
        <v>7088.21842466197</v>
      </c>
      <c r="J693" s="15">
        <f t="shared" si="101"/>
        <v>1008.85933468802</v>
      </c>
      <c r="K693" s="15">
        <f t="shared" si="102"/>
        <v>6079.35908997395</v>
      </c>
      <c r="L693" s="15">
        <f t="shared" si="103"/>
        <v>0.142329041551247</v>
      </c>
      <c r="M693" s="15">
        <f t="shared" si="104"/>
        <v>0.165948304707289</v>
      </c>
      <c r="N693" s="16">
        <f t="shared" si="105"/>
        <v>27.0655270655271</v>
      </c>
      <c r="O693" s="16">
        <f t="shared" si="106"/>
        <v>343012.173793928</v>
      </c>
      <c r="P693" s="16">
        <f t="shared" si="107"/>
        <v>153807.784976341</v>
      </c>
      <c r="Q693" s="16">
        <f t="shared" si="108"/>
        <v>13.4387351778656</v>
      </c>
      <c r="R693" s="16">
        <f t="shared" si="109"/>
        <v>2.23013532017701</v>
      </c>
      <c r="S693" s="16">
        <v>83.3684210526316</v>
      </c>
    </row>
    <row r="694" spans="1:19">
      <c r="A694" s="5">
        <v>63</v>
      </c>
      <c r="B694" s="6">
        <v>216</v>
      </c>
      <c r="C694" s="6">
        <v>4.06</v>
      </c>
      <c r="D694" s="6">
        <v>2220</v>
      </c>
      <c r="E694" s="6">
        <v>289</v>
      </c>
      <c r="F694" s="6">
        <v>23.2</v>
      </c>
      <c r="G694" s="5" t="s">
        <v>20</v>
      </c>
      <c r="H694" s="6">
        <v>1023</v>
      </c>
      <c r="I694" s="14">
        <f t="shared" si="100"/>
        <v>36643.5367114713</v>
      </c>
      <c r="J694" s="15">
        <f t="shared" si="101"/>
        <v>2703.2663368274</v>
      </c>
      <c r="K694" s="15">
        <f t="shared" si="102"/>
        <v>33940.270374644</v>
      </c>
      <c r="L694" s="15">
        <f t="shared" si="103"/>
        <v>0.0737719821673527</v>
      </c>
      <c r="M694" s="15">
        <f t="shared" si="104"/>
        <v>0.079647754923218</v>
      </c>
      <c r="N694" s="16">
        <f t="shared" si="105"/>
        <v>53.2019704433498</v>
      </c>
      <c r="O694" s="16">
        <f t="shared" si="106"/>
        <v>781243.971343118</v>
      </c>
      <c r="P694" s="16">
        <f t="shared" si="107"/>
        <v>787414.27269174</v>
      </c>
      <c r="Q694" s="16">
        <f t="shared" si="108"/>
        <v>12.4568965517241</v>
      </c>
      <c r="R694" s="16">
        <f t="shared" si="109"/>
        <v>0.992163843655603</v>
      </c>
      <c r="S694" s="16">
        <v>41.1111111111111</v>
      </c>
    </row>
    <row r="695" spans="1:19">
      <c r="A695" s="5">
        <v>64</v>
      </c>
      <c r="B695" s="6">
        <v>216</v>
      </c>
      <c r="C695" s="6">
        <v>4.11</v>
      </c>
      <c r="D695" s="6">
        <v>2220</v>
      </c>
      <c r="E695" s="6">
        <v>304</v>
      </c>
      <c r="F695" s="6">
        <v>23.2</v>
      </c>
      <c r="G695" s="5" t="s">
        <v>20</v>
      </c>
      <c r="H695" s="6">
        <v>1834</v>
      </c>
      <c r="I695" s="14">
        <f t="shared" si="100"/>
        <v>36643.5367114713</v>
      </c>
      <c r="J695" s="15">
        <f t="shared" si="101"/>
        <v>2735.91219688717</v>
      </c>
      <c r="K695" s="15">
        <f t="shared" si="102"/>
        <v>33907.6245145842</v>
      </c>
      <c r="L695" s="15">
        <f t="shared" si="103"/>
        <v>0.0746628858024691</v>
      </c>
      <c r="M695" s="15">
        <f t="shared" si="104"/>
        <v>0.0806872270191152</v>
      </c>
      <c r="N695" s="16">
        <f t="shared" si="105"/>
        <v>52.5547445255474</v>
      </c>
      <c r="O695" s="16">
        <f t="shared" si="106"/>
        <v>831717.307853699</v>
      </c>
      <c r="P695" s="16">
        <f t="shared" si="107"/>
        <v>786656.888738353</v>
      </c>
      <c r="Q695" s="16">
        <f t="shared" si="108"/>
        <v>13.1034482758621</v>
      </c>
      <c r="R695" s="16">
        <f t="shared" si="109"/>
        <v>1.05728090576772</v>
      </c>
      <c r="S695" s="16">
        <v>41.1111111111111</v>
      </c>
    </row>
    <row r="696" spans="1:19">
      <c r="A696" s="5">
        <v>65</v>
      </c>
      <c r="B696" s="6">
        <v>216</v>
      </c>
      <c r="C696" s="6">
        <v>4.04</v>
      </c>
      <c r="D696" s="6">
        <v>2220</v>
      </c>
      <c r="E696" s="6">
        <v>293</v>
      </c>
      <c r="F696" s="6">
        <v>30.2</v>
      </c>
      <c r="G696" s="5" t="s">
        <v>20</v>
      </c>
      <c r="H696" s="6">
        <v>2289</v>
      </c>
      <c r="I696" s="14">
        <f t="shared" si="100"/>
        <v>36643.5367114713</v>
      </c>
      <c r="J696" s="15">
        <f t="shared" si="101"/>
        <v>2690.20359457377</v>
      </c>
      <c r="K696" s="15">
        <f t="shared" si="102"/>
        <v>33953.3331168976</v>
      </c>
      <c r="L696" s="15">
        <f t="shared" si="103"/>
        <v>0.0734155006858712</v>
      </c>
      <c r="M696" s="15">
        <f t="shared" si="104"/>
        <v>0.0792323859725847</v>
      </c>
      <c r="N696" s="16">
        <f t="shared" si="105"/>
        <v>53.4653465346535</v>
      </c>
      <c r="O696" s="16">
        <f t="shared" si="106"/>
        <v>788229.653210115</v>
      </c>
      <c r="P696" s="16">
        <f t="shared" si="107"/>
        <v>1025390.66013031</v>
      </c>
      <c r="Q696" s="16">
        <f t="shared" si="108"/>
        <v>9.70198675496689</v>
      </c>
      <c r="R696" s="16">
        <f t="shared" si="109"/>
        <v>0.768711559270441</v>
      </c>
      <c r="S696" s="16">
        <v>41.1111111111111</v>
      </c>
    </row>
    <row r="697" spans="1:19">
      <c r="A697" s="5">
        <v>66</v>
      </c>
      <c r="B697" s="6">
        <v>216</v>
      </c>
      <c r="C697" s="6">
        <v>4.11</v>
      </c>
      <c r="D697" s="6">
        <v>2220</v>
      </c>
      <c r="E697" s="6">
        <v>291</v>
      </c>
      <c r="F697" s="6">
        <v>30.2</v>
      </c>
      <c r="G697" s="5" t="s">
        <v>20</v>
      </c>
      <c r="H697" s="6">
        <v>2239</v>
      </c>
      <c r="I697" s="14">
        <f t="shared" si="100"/>
        <v>36643.5367114713</v>
      </c>
      <c r="J697" s="15">
        <f t="shared" si="101"/>
        <v>2735.91219688717</v>
      </c>
      <c r="K697" s="15">
        <f t="shared" si="102"/>
        <v>33907.6245145842</v>
      </c>
      <c r="L697" s="15">
        <f t="shared" si="103"/>
        <v>0.0746628858024691</v>
      </c>
      <c r="M697" s="15">
        <f t="shared" si="104"/>
        <v>0.0806872270191152</v>
      </c>
      <c r="N697" s="16">
        <f t="shared" si="105"/>
        <v>52.5547445255474</v>
      </c>
      <c r="O697" s="16">
        <f t="shared" si="106"/>
        <v>796150.449294166</v>
      </c>
      <c r="P697" s="16">
        <f t="shared" si="107"/>
        <v>1024010.26034044</v>
      </c>
      <c r="Q697" s="16">
        <f t="shared" si="108"/>
        <v>9.63576158940397</v>
      </c>
      <c r="R697" s="16">
        <f t="shared" si="109"/>
        <v>0.777482882866308</v>
      </c>
      <c r="S697" s="16">
        <v>41.1111111111111</v>
      </c>
    </row>
    <row r="698" spans="1:19">
      <c r="A698" s="5">
        <v>69</v>
      </c>
      <c r="B698" s="6">
        <v>216</v>
      </c>
      <c r="C698" s="6">
        <v>6.05</v>
      </c>
      <c r="D698" s="6">
        <v>2220</v>
      </c>
      <c r="E698" s="6">
        <v>395</v>
      </c>
      <c r="F698" s="6">
        <v>23.2</v>
      </c>
      <c r="G698" s="5" t="s">
        <v>20</v>
      </c>
      <c r="H698" s="6">
        <v>2462</v>
      </c>
      <c r="I698" s="14">
        <f t="shared" si="100"/>
        <v>36643.5367114713</v>
      </c>
      <c r="J698" s="15">
        <f t="shared" si="101"/>
        <v>3990.44313460812</v>
      </c>
      <c r="K698" s="15">
        <f t="shared" si="102"/>
        <v>32653.0935768632</v>
      </c>
      <c r="L698" s="15">
        <f t="shared" si="103"/>
        <v>0.108898962620027</v>
      </c>
      <c r="M698" s="15">
        <f t="shared" si="104"/>
        <v>0.122207199915527</v>
      </c>
      <c r="N698" s="16">
        <f t="shared" si="105"/>
        <v>35.702479338843</v>
      </c>
      <c r="O698" s="16">
        <f t="shared" si="106"/>
        <v>1576225.03817021</v>
      </c>
      <c r="P698" s="16">
        <f t="shared" si="107"/>
        <v>757551.770983227</v>
      </c>
      <c r="Q698" s="16">
        <f t="shared" si="108"/>
        <v>17.0258620689655</v>
      </c>
      <c r="R698" s="16">
        <f t="shared" si="109"/>
        <v>2.08068292959625</v>
      </c>
      <c r="S698" s="16">
        <v>41.1111111111111</v>
      </c>
    </row>
    <row r="699" spans="1:19">
      <c r="A699" s="5">
        <v>70</v>
      </c>
      <c r="B699" s="6">
        <v>216</v>
      </c>
      <c r="C699" s="6">
        <v>5.97</v>
      </c>
      <c r="D699" s="6">
        <v>2220</v>
      </c>
      <c r="E699" s="6">
        <v>399</v>
      </c>
      <c r="F699" s="6">
        <v>23.2</v>
      </c>
      <c r="G699" s="5" t="s">
        <v>20</v>
      </c>
      <c r="H699" s="6">
        <v>2421</v>
      </c>
      <c r="I699" s="14">
        <f t="shared" si="100"/>
        <v>36643.5367114713</v>
      </c>
      <c r="J699" s="15">
        <f t="shared" si="101"/>
        <v>3939.17736904978</v>
      </c>
      <c r="K699" s="15">
        <f t="shared" si="102"/>
        <v>32704.3593424216</v>
      </c>
      <c r="L699" s="15">
        <f t="shared" si="103"/>
        <v>0.107499922839506</v>
      </c>
      <c r="M699" s="15">
        <f t="shared" si="104"/>
        <v>0.120448082404115</v>
      </c>
      <c r="N699" s="16">
        <f t="shared" si="105"/>
        <v>36.1809045226131</v>
      </c>
      <c r="O699" s="16">
        <f t="shared" si="106"/>
        <v>1571731.77025086</v>
      </c>
      <c r="P699" s="16">
        <f t="shared" si="107"/>
        <v>758741.13674418</v>
      </c>
      <c r="Q699" s="16">
        <f t="shared" si="108"/>
        <v>17.198275862069</v>
      </c>
      <c r="R699" s="16">
        <f t="shared" si="109"/>
        <v>2.07149934824319</v>
      </c>
      <c r="S699" s="16">
        <v>41.1111111111111</v>
      </c>
    </row>
    <row r="700" spans="1:19">
      <c r="A700" s="5">
        <v>71</v>
      </c>
      <c r="B700" s="6">
        <v>216</v>
      </c>
      <c r="C700" s="6">
        <v>6.5</v>
      </c>
      <c r="D700" s="6">
        <v>2220</v>
      </c>
      <c r="E700" s="6">
        <v>300</v>
      </c>
      <c r="F700" s="6">
        <v>30.2</v>
      </c>
      <c r="G700" s="5" t="s">
        <v>20</v>
      </c>
      <c r="H700" s="6">
        <v>2804</v>
      </c>
      <c r="I700" s="14">
        <f t="shared" si="100"/>
        <v>36643.5367114713</v>
      </c>
      <c r="J700" s="15">
        <f t="shared" si="101"/>
        <v>4278.0637960259</v>
      </c>
      <c r="K700" s="15">
        <f t="shared" si="102"/>
        <v>32365.4729154454</v>
      </c>
      <c r="L700" s="15">
        <f t="shared" si="103"/>
        <v>0.116748113854595</v>
      </c>
      <c r="M700" s="15">
        <f t="shared" si="104"/>
        <v>0.132179863622024</v>
      </c>
      <c r="N700" s="16">
        <f t="shared" si="105"/>
        <v>33.2307692307692</v>
      </c>
      <c r="O700" s="16">
        <f t="shared" si="106"/>
        <v>1283419.13880777</v>
      </c>
      <c r="P700" s="16">
        <f t="shared" si="107"/>
        <v>977437.282046453</v>
      </c>
      <c r="Q700" s="16">
        <f t="shared" si="108"/>
        <v>9.93377483443709</v>
      </c>
      <c r="R700" s="16">
        <f t="shared" si="109"/>
        <v>1.31304500286779</v>
      </c>
      <c r="S700" s="16">
        <v>41.1111111111111</v>
      </c>
    </row>
    <row r="701" spans="1:19">
      <c r="A701" s="5">
        <v>72</v>
      </c>
      <c r="B701" s="6">
        <v>216</v>
      </c>
      <c r="C701" s="6">
        <v>6.3</v>
      </c>
      <c r="D701" s="6">
        <v>2220</v>
      </c>
      <c r="E701" s="6">
        <v>411</v>
      </c>
      <c r="F701" s="6">
        <v>30.2</v>
      </c>
      <c r="G701" s="5" t="s">
        <v>20</v>
      </c>
      <c r="H701" s="6">
        <v>2932</v>
      </c>
      <c r="I701" s="14">
        <f t="shared" si="100"/>
        <v>36643.5367114713</v>
      </c>
      <c r="J701" s="15">
        <f t="shared" si="101"/>
        <v>4150.38947058401</v>
      </c>
      <c r="K701" s="15">
        <f t="shared" si="102"/>
        <v>32493.1472408873</v>
      </c>
      <c r="L701" s="15">
        <f t="shared" si="103"/>
        <v>0.113263888888889</v>
      </c>
      <c r="M701" s="15">
        <f t="shared" si="104"/>
        <v>0.127731224058266</v>
      </c>
      <c r="N701" s="16">
        <f t="shared" si="105"/>
        <v>34.2857142857143</v>
      </c>
      <c r="O701" s="16">
        <f t="shared" si="106"/>
        <v>1705810.07241003</v>
      </c>
      <c r="P701" s="16">
        <f t="shared" si="107"/>
        <v>981293.046674798</v>
      </c>
      <c r="Q701" s="16">
        <f t="shared" si="108"/>
        <v>13.6092715231788</v>
      </c>
      <c r="R701" s="16">
        <f t="shared" si="109"/>
        <v>1.73832891019693</v>
      </c>
      <c r="S701" s="16">
        <v>41.1111111111111</v>
      </c>
    </row>
    <row r="702" spans="1:19">
      <c r="A702" s="5">
        <v>73</v>
      </c>
      <c r="B702" s="6">
        <v>95</v>
      </c>
      <c r="C702" s="6">
        <v>3.86</v>
      </c>
      <c r="D702" s="6">
        <v>1980</v>
      </c>
      <c r="E702" s="6">
        <v>337</v>
      </c>
      <c r="F702" s="6">
        <v>24.4</v>
      </c>
      <c r="G702" s="5" t="s">
        <v>20</v>
      </c>
      <c r="H702" s="6">
        <v>498</v>
      </c>
      <c r="I702" s="14">
        <f t="shared" si="100"/>
        <v>7088.21842466197</v>
      </c>
      <c r="J702" s="15">
        <f t="shared" si="101"/>
        <v>1105.21355216995</v>
      </c>
      <c r="K702" s="15">
        <f t="shared" si="102"/>
        <v>5983.00487249202</v>
      </c>
      <c r="L702" s="15">
        <f t="shared" si="103"/>
        <v>0.155922614958449</v>
      </c>
      <c r="M702" s="15">
        <f t="shared" si="104"/>
        <v>0.184725497592585</v>
      </c>
      <c r="N702" s="16">
        <f t="shared" si="105"/>
        <v>24.6113989637306</v>
      </c>
      <c r="O702" s="16">
        <f t="shared" si="106"/>
        <v>372456.967081273</v>
      </c>
      <c r="P702" s="16">
        <f t="shared" si="107"/>
        <v>145985.318888805</v>
      </c>
      <c r="Q702" s="16">
        <f t="shared" si="108"/>
        <v>13.8114754098361</v>
      </c>
      <c r="R702" s="16">
        <f t="shared" si="109"/>
        <v>2.55133166756972</v>
      </c>
      <c r="S702" s="16">
        <v>83.3684210526316</v>
      </c>
    </row>
    <row r="703" spans="1:19">
      <c r="A703" s="5">
        <v>74</v>
      </c>
      <c r="B703" s="6">
        <v>95</v>
      </c>
      <c r="C703" s="6">
        <v>3.4</v>
      </c>
      <c r="D703" s="6">
        <v>1980</v>
      </c>
      <c r="E703" s="6">
        <v>343</v>
      </c>
      <c r="F703" s="6">
        <v>24.4</v>
      </c>
      <c r="G703" s="5" t="s">
        <v>20</v>
      </c>
      <c r="H703" s="6">
        <v>473</v>
      </c>
      <c r="I703" s="14">
        <f t="shared" si="100"/>
        <v>7088.21842466197</v>
      </c>
      <c r="J703" s="15">
        <f t="shared" si="101"/>
        <v>978.417616034005</v>
      </c>
      <c r="K703" s="15">
        <f t="shared" si="102"/>
        <v>6109.80080862797</v>
      </c>
      <c r="L703" s="15">
        <f t="shared" si="103"/>
        <v>0.138034349030471</v>
      </c>
      <c r="M703" s="15">
        <f t="shared" si="104"/>
        <v>0.16013903671824</v>
      </c>
      <c r="N703" s="16">
        <f t="shared" si="105"/>
        <v>27.9411764705882</v>
      </c>
      <c r="O703" s="16">
        <f t="shared" si="106"/>
        <v>335597.242299664</v>
      </c>
      <c r="P703" s="16">
        <f t="shared" si="107"/>
        <v>149079.139730522</v>
      </c>
      <c r="Q703" s="16">
        <f t="shared" si="108"/>
        <v>14.0573770491803</v>
      </c>
      <c r="R703" s="16">
        <f t="shared" si="109"/>
        <v>2.25113481944083</v>
      </c>
      <c r="S703" s="16">
        <v>83.3684210526316</v>
      </c>
    </row>
    <row r="704" spans="1:19">
      <c r="A704" s="5">
        <v>75</v>
      </c>
      <c r="B704" s="6">
        <v>95</v>
      </c>
      <c r="C704" s="6">
        <v>3.58</v>
      </c>
      <c r="D704" s="6">
        <v>1980</v>
      </c>
      <c r="E704" s="6">
        <v>360</v>
      </c>
      <c r="F704" s="6">
        <v>24.4</v>
      </c>
      <c r="G704" s="5" t="s">
        <v>20</v>
      </c>
      <c r="H704" s="6">
        <v>473</v>
      </c>
      <c r="I704" s="14">
        <f t="shared" si="100"/>
        <v>7088.21842466197</v>
      </c>
      <c r="J704" s="15">
        <f t="shared" si="101"/>
        <v>1028.19175340042</v>
      </c>
      <c r="K704" s="15">
        <f t="shared" si="102"/>
        <v>6060.02667126155</v>
      </c>
      <c r="L704" s="15">
        <f t="shared" si="103"/>
        <v>0.145056443213296</v>
      </c>
      <c r="M704" s="15">
        <f t="shared" si="104"/>
        <v>0.169667859429796</v>
      </c>
      <c r="N704" s="16">
        <f t="shared" si="105"/>
        <v>26.536312849162</v>
      </c>
      <c r="O704" s="16">
        <f t="shared" si="106"/>
        <v>370149.031224151</v>
      </c>
      <c r="P704" s="16">
        <f t="shared" si="107"/>
        <v>147864.650778782</v>
      </c>
      <c r="Q704" s="16">
        <f t="shared" si="108"/>
        <v>14.7540983606557</v>
      </c>
      <c r="R704" s="16">
        <f t="shared" si="109"/>
        <v>2.50329628666912</v>
      </c>
      <c r="S704" s="16">
        <v>83.3684210526316</v>
      </c>
    </row>
    <row r="705" spans="1:19">
      <c r="A705" s="5">
        <v>76</v>
      </c>
      <c r="B705" s="6">
        <v>95</v>
      </c>
      <c r="C705" s="6">
        <v>3.73</v>
      </c>
      <c r="D705" s="6">
        <v>1980</v>
      </c>
      <c r="E705" s="6">
        <v>332</v>
      </c>
      <c r="F705" s="6">
        <v>24.4</v>
      </c>
      <c r="G705" s="5" t="s">
        <v>20</v>
      </c>
      <c r="H705" s="6">
        <v>413</v>
      </c>
      <c r="I705" s="14">
        <f t="shared" si="100"/>
        <v>7088.21842466197</v>
      </c>
      <c r="J705" s="15">
        <f t="shared" si="101"/>
        <v>1069.51469236941</v>
      </c>
      <c r="K705" s="15">
        <f t="shared" si="102"/>
        <v>6018.70373229256</v>
      </c>
      <c r="L705" s="15">
        <f t="shared" si="103"/>
        <v>0.150886249307479</v>
      </c>
      <c r="M705" s="15">
        <f t="shared" si="104"/>
        <v>0.177698511164634</v>
      </c>
      <c r="N705" s="16">
        <f t="shared" si="105"/>
        <v>25.4691689008043</v>
      </c>
      <c r="O705" s="16">
        <f t="shared" si="106"/>
        <v>355078.877866645</v>
      </c>
      <c r="P705" s="16">
        <f t="shared" si="107"/>
        <v>146856.371067938</v>
      </c>
      <c r="Q705" s="16">
        <f t="shared" si="108"/>
        <v>13.6065573770492</v>
      </c>
      <c r="R705" s="16">
        <f t="shared" si="109"/>
        <v>2.41786498797781</v>
      </c>
      <c r="S705" s="16">
        <v>83.3684210526316</v>
      </c>
    </row>
    <row r="706" spans="1:19">
      <c r="A706" s="5">
        <v>83</v>
      </c>
      <c r="B706" s="6">
        <v>121</v>
      </c>
      <c r="C706" s="6">
        <v>3.66</v>
      </c>
      <c r="D706" s="6">
        <v>1050</v>
      </c>
      <c r="E706" s="6">
        <v>300</v>
      </c>
      <c r="F706" s="6">
        <v>21.4</v>
      </c>
      <c r="G706" s="5" t="s">
        <v>20</v>
      </c>
      <c r="H706" s="6">
        <v>695</v>
      </c>
      <c r="I706" s="14">
        <f t="shared" si="100"/>
        <v>11499.014510302</v>
      </c>
      <c r="J706" s="15">
        <f t="shared" si="101"/>
        <v>1349.20220401835</v>
      </c>
      <c r="K706" s="15">
        <f t="shared" si="102"/>
        <v>10149.8123062837</v>
      </c>
      <c r="L706" s="15">
        <f t="shared" si="103"/>
        <v>0.117331985520115</v>
      </c>
      <c r="M706" s="15">
        <f t="shared" si="104"/>
        <v>0.13292878363702</v>
      </c>
      <c r="N706" s="16">
        <f t="shared" si="105"/>
        <v>33.0601092896175</v>
      </c>
      <c r="O706" s="16">
        <f t="shared" si="106"/>
        <v>404760.661205504</v>
      </c>
      <c r="P706" s="16">
        <f t="shared" si="107"/>
        <v>217205.983354471</v>
      </c>
      <c r="Q706" s="16">
        <f t="shared" si="108"/>
        <v>14.018691588785</v>
      </c>
      <c r="R706" s="16">
        <f t="shared" si="109"/>
        <v>1.86348762107972</v>
      </c>
      <c r="S706" s="16">
        <v>34.7107438016529</v>
      </c>
    </row>
    <row r="707" spans="1:19">
      <c r="A707" s="5">
        <v>84</v>
      </c>
      <c r="B707" s="6">
        <v>121</v>
      </c>
      <c r="C707" s="6">
        <v>3.73</v>
      </c>
      <c r="D707" s="6">
        <v>1050</v>
      </c>
      <c r="E707" s="6">
        <v>333</v>
      </c>
      <c r="F707" s="6">
        <v>21.4</v>
      </c>
      <c r="G707" s="5" t="s">
        <v>20</v>
      </c>
      <c r="H707" s="6">
        <v>746</v>
      </c>
      <c r="I707" s="14">
        <f t="shared" ref="I707:I770" si="110">(PI()*B707^2)/4</f>
        <v>11499.014510302</v>
      </c>
      <c r="J707" s="15">
        <f t="shared" ref="J707:J770" si="111">(PI()*(B707^2-(B707-2*C707)^2))/4</f>
        <v>1374.18634791455</v>
      </c>
      <c r="K707" s="15">
        <f t="shared" ref="K707:K770" si="112">(PI()*(B707-2*C707)^2)/4</f>
        <v>10124.8281623875</v>
      </c>
      <c r="L707" s="15">
        <f t="shared" ref="L707:L770" si="113">J707/I707</f>
        <v>0.119504705962707</v>
      </c>
      <c r="M707" s="15">
        <f t="shared" ref="M707:M770" si="114">J707/K707</f>
        <v>0.135724411898612</v>
      </c>
      <c r="N707" s="16">
        <f t="shared" ref="N707:N770" si="115">B707/C707</f>
        <v>32.4396782841823</v>
      </c>
      <c r="O707" s="16">
        <f t="shared" ref="O707:O770" si="116">J707*E707</f>
        <v>457604.053855545</v>
      </c>
      <c r="P707" s="16">
        <f t="shared" ref="P707:P770" si="117">K707*F707</f>
        <v>216671.322675092</v>
      </c>
      <c r="Q707" s="16">
        <f t="shared" ref="Q707:Q770" si="118">E707/F707</f>
        <v>15.5607476635514</v>
      </c>
      <c r="R707" s="16">
        <f t="shared" ref="R707:R770" si="119">O707/P707</f>
        <v>2.11197332533822</v>
      </c>
      <c r="S707" s="16">
        <v>34.7107438016529</v>
      </c>
    </row>
    <row r="708" spans="1:19">
      <c r="A708" s="5">
        <v>85</v>
      </c>
      <c r="B708" s="6">
        <v>121</v>
      </c>
      <c r="C708" s="6">
        <v>3.76</v>
      </c>
      <c r="D708" s="6">
        <v>1050</v>
      </c>
      <c r="E708" s="6">
        <v>313</v>
      </c>
      <c r="F708" s="6">
        <v>24.6</v>
      </c>
      <c r="G708" s="5" t="s">
        <v>20</v>
      </c>
      <c r="H708" s="6">
        <v>837</v>
      </c>
      <c r="I708" s="14">
        <f t="shared" si="110"/>
        <v>11499.014510302</v>
      </c>
      <c r="J708" s="15">
        <f t="shared" si="111"/>
        <v>1384.88441337782</v>
      </c>
      <c r="K708" s="15">
        <f t="shared" si="112"/>
        <v>10114.1300969242</v>
      </c>
      <c r="L708" s="15">
        <f t="shared" si="113"/>
        <v>0.120435052250529</v>
      </c>
      <c r="M708" s="15">
        <f t="shared" si="114"/>
        <v>0.13692570691759</v>
      </c>
      <c r="N708" s="16">
        <f t="shared" si="115"/>
        <v>32.1808510638298</v>
      </c>
      <c r="O708" s="16">
        <f t="shared" si="116"/>
        <v>433468.821387258</v>
      </c>
      <c r="P708" s="16">
        <f t="shared" si="117"/>
        <v>248807.600384336</v>
      </c>
      <c r="Q708" s="16">
        <f t="shared" si="118"/>
        <v>12.7235772357724</v>
      </c>
      <c r="R708" s="16">
        <f t="shared" si="119"/>
        <v>1.74218480752868</v>
      </c>
      <c r="S708" s="16">
        <v>34.7107438016529</v>
      </c>
    </row>
    <row r="709" spans="1:19">
      <c r="A709" s="5">
        <v>86</v>
      </c>
      <c r="B709" s="6">
        <v>121</v>
      </c>
      <c r="C709" s="6">
        <v>3.99</v>
      </c>
      <c r="D709" s="6">
        <v>1050</v>
      </c>
      <c r="E709" s="6">
        <v>332</v>
      </c>
      <c r="F709" s="6">
        <v>24.6</v>
      </c>
      <c r="G709" s="5" t="s">
        <v>20</v>
      </c>
      <c r="H709" s="6">
        <v>867</v>
      </c>
      <c r="I709" s="14">
        <f t="shared" si="110"/>
        <v>11499.014510302</v>
      </c>
      <c r="J709" s="15">
        <f t="shared" si="111"/>
        <v>1466.7150480222</v>
      </c>
      <c r="K709" s="15">
        <f t="shared" si="112"/>
        <v>10032.2994622798</v>
      </c>
      <c r="L709" s="15">
        <f t="shared" si="113"/>
        <v>0.127551369441978</v>
      </c>
      <c r="M709" s="15">
        <f t="shared" si="114"/>
        <v>0.146199288960309</v>
      </c>
      <c r="N709" s="16">
        <f t="shared" si="115"/>
        <v>30.3258145363409</v>
      </c>
      <c r="O709" s="16">
        <f t="shared" si="116"/>
        <v>486949.395943371</v>
      </c>
      <c r="P709" s="16">
        <f t="shared" si="117"/>
        <v>246794.566772084</v>
      </c>
      <c r="Q709" s="16">
        <f t="shared" si="118"/>
        <v>13.4959349593496</v>
      </c>
      <c r="R709" s="16">
        <f t="shared" si="119"/>
        <v>1.97309609491149</v>
      </c>
      <c r="S709" s="16">
        <v>34.7107438016529</v>
      </c>
    </row>
    <row r="710" spans="1:19">
      <c r="A710" s="5">
        <v>89</v>
      </c>
      <c r="B710" s="6">
        <v>121</v>
      </c>
      <c r="C710" s="6">
        <v>5.61</v>
      </c>
      <c r="D710" s="6">
        <v>1050</v>
      </c>
      <c r="E710" s="6">
        <v>349</v>
      </c>
      <c r="F710" s="6">
        <v>21.4</v>
      </c>
      <c r="G710" s="5" t="s">
        <v>20</v>
      </c>
      <c r="H710" s="6">
        <v>998</v>
      </c>
      <c r="I710" s="14">
        <f t="shared" si="110"/>
        <v>11499.014510302</v>
      </c>
      <c r="J710" s="15">
        <f t="shared" si="111"/>
        <v>2033.67199103024</v>
      </c>
      <c r="K710" s="15">
        <f t="shared" si="112"/>
        <v>9465.3425192718</v>
      </c>
      <c r="L710" s="15">
        <f t="shared" si="113"/>
        <v>0.176856198347107</v>
      </c>
      <c r="M710" s="15">
        <f t="shared" si="114"/>
        <v>0.214854558817033</v>
      </c>
      <c r="N710" s="16">
        <f t="shared" si="115"/>
        <v>21.5686274509804</v>
      </c>
      <c r="O710" s="16">
        <f t="shared" si="116"/>
        <v>709751.524869555</v>
      </c>
      <c r="P710" s="16">
        <f t="shared" si="117"/>
        <v>202558.329912416</v>
      </c>
      <c r="Q710" s="16">
        <f t="shared" si="118"/>
        <v>16.3084112149533</v>
      </c>
      <c r="R710" s="16">
        <f t="shared" si="119"/>
        <v>3.50393649659554</v>
      </c>
      <c r="S710" s="16">
        <v>34.7107438016529</v>
      </c>
    </row>
    <row r="711" spans="1:19">
      <c r="A711" s="5">
        <v>90</v>
      </c>
      <c r="B711" s="6">
        <v>121</v>
      </c>
      <c r="C711" s="6">
        <v>5.41</v>
      </c>
      <c r="D711" s="6">
        <v>1050</v>
      </c>
      <c r="E711" s="6">
        <v>348</v>
      </c>
      <c r="F711" s="6">
        <v>21.4</v>
      </c>
      <c r="G711" s="5" t="s">
        <v>20</v>
      </c>
      <c r="H711" s="6">
        <v>1018</v>
      </c>
      <c r="I711" s="14">
        <f t="shared" si="110"/>
        <v>11499.014510302</v>
      </c>
      <c r="J711" s="15">
        <f t="shared" si="111"/>
        <v>1964.56951902188</v>
      </c>
      <c r="K711" s="15">
        <f t="shared" si="112"/>
        <v>9534.44499128016</v>
      </c>
      <c r="L711" s="15">
        <f t="shared" si="113"/>
        <v>0.170846772761423</v>
      </c>
      <c r="M711" s="15">
        <f t="shared" si="114"/>
        <v>0.206049698836021</v>
      </c>
      <c r="N711" s="16">
        <f t="shared" si="115"/>
        <v>22.365988909427</v>
      </c>
      <c r="O711" s="16">
        <f t="shared" si="116"/>
        <v>683670.192619615</v>
      </c>
      <c r="P711" s="16">
        <f t="shared" si="117"/>
        <v>204037.122813395</v>
      </c>
      <c r="Q711" s="16">
        <f t="shared" si="118"/>
        <v>16.2616822429907</v>
      </c>
      <c r="R711" s="16">
        <f t="shared" si="119"/>
        <v>3.35071472873529</v>
      </c>
      <c r="S711" s="16">
        <v>34.7107438016529</v>
      </c>
    </row>
    <row r="712" spans="1:19">
      <c r="A712" s="5">
        <v>91</v>
      </c>
      <c r="B712" s="6">
        <v>121</v>
      </c>
      <c r="C712" s="6">
        <v>5.46</v>
      </c>
      <c r="D712" s="6">
        <v>1050</v>
      </c>
      <c r="E712" s="6">
        <v>336</v>
      </c>
      <c r="F712" s="6">
        <v>24.6</v>
      </c>
      <c r="G712" s="5" t="s">
        <v>20</v>
      </c>
      <c r="H712" s="6">
        <v>1099</v>
      </c>
      <c r="I712" s="14">
        <f t="shared" si="110"/>
        <v>11499.014510302</v>
      </c>
      <c r="J712" s="15">
        <f t="shared" si="111"/>
        <v>1981.86869896888</v>
      </c>
      <c r="K712" s="15">
        <f t="shared" si="112"/>
        <v>9517.14581133316</v>
      </c>
      <c r="L712" s="15">
        <f t="shared" si="113"/>
        <v>0.172351178198211</v>
      </c>
      <c r="M712" s="15">
        <f t="shared" si="114"/>
        <v>0.208241918139873</v>
      </c>
      <c r="N712" s="16">
        <f t="shared" si="115"/>
        <v>22.1611721611722</v>
      </c>
      <c r="O712" s="16">
        <f t="shared" si="116"/>
        <v>665907.882853542</v>
      </c>
      <c r="P712" s="16">
        <f t="shared" si="117"/>
        <v>234121.786958796</v>
      </c>
      <c r="Q712" s="16">
        <f t="shared" si="118"/>
        <v>13.6585365853659</v>
      </c>
      <c r="R712" s="16">
        <f t="shared" si="119"/>
        <v>2.84427985752022</v>
      </c>
      <c r="S712" s="16">
        <v>34.7107438016529</v>
      </c>
    </row>
    <row r="713" spans="1:19">
      <c r="A713" s="5">
        <v>92</v>
      </c>
      <c r="B713" s="6">
        <v>121</v>
      </c>
      <c r="C713" s="6">
        <v>5.56</v>
      </c>
      <c r="D713" s="6">
        <v>1050</v>
      </c>
      <c r="E713" s="6">
        <v>327</v>
      </c>
      <c r="F713" s="6">
        <v>24.6</v>
      </c>
      <c r="G713" s="5" t="s">
        <v>20</v>
      </c>
      <c r="H713" s="6">
        <v>1079</v>
      </c>
      <c r="I713" s="14">
        <f t="shared" si="110"/>
        <v>11499.014510302</v>
      </c>
      <c r="J713" s="15">
        <f t="shared" si="111"/>
        <v>2016.41993497306</v>
      </c>
      <c r="K713" s="15">
        <f t="shared" si="112"/>
        <v>9482.59457532898</v>
      </c>
      <c r="L713" s="15">
        <f t="shared" si="113"/>
        <v>0.175355890991053</v>
      </c>
      <c r="M713" s="15">
        <f t="shared" si="114"/>
        <v>0.212644326292216</v>
      </c>
      <c r="N713" s="16">
        <f t="shared" si="115"/>
        <v>21.7625899280576</v>
      </c>
      <c r="O713" s="16">
        <f t="shared" si="116"/>
        <v>659369.31873619</v>
      </c>
      <c r="P713" s="16">
        <f t="shared" si="117"/>
        <v>233271.826553093</v>
      </c>
      <c r="Q713" s="16">
        <f t="shared" si="118"/>
        <v>13.2926829268293</v>
      </c>
      <c r="R713" s="16">
        <f t="shared" si="119"/>
        <v>2.82661360559166</v>
      </c>
      <c r="S713" s="16">
        <v>34.7107438016529</v>
      </c>
    </row>
    <row r="714" spans="1:19">
      <c r="A714" s="5">
        <v>95</v>
      </c>
      <c r="B714" s="6">
        <v>121</v>
      </c>
      <c r="C714" s="6">
        <v>3.71</v>
      </c>
      <c r="D714" s="6">
        <v>2310</v>
      </c>
      <c r="E714" s="6">
        <v>300</v>
      </c>
      <c r="F714" s="6">
        <v>21.4</v>
      </c>
      <c r="G714" s="5" t="s">
        <v>20</v>
      </c>
      <c r="H714" s="6">
        <v>641</v>
      </c>
      <c r="I714" s="14">
        <f t="shared" si="110"/>
        <v>11499.014510302</v>
      </c>
      <c r="J714" s="15">
        <f t="shared" si="111"/>
        <v>1367.05116267972</v>
      </c>
      <c r="K714" s="15">
        <f t="shared" si="112"/>
        <v>10131.9633476223</v>
      </c>
      <c r="L714" s="15">
        <f t="shared" si="113"/>
        <v>0.118884201898777</v>
      </c>
      <c r="M714" s="15">
        <f t="shared" si="114"/>
        <v>0.13492460599954</v>
      </c>
      <c r="N714" s="16">
        <f t="shared" si="115"/>
        <v>32.6145552560647</v>
      </c>
      <c r="O714" s="16">
        <f t="shared" si="116"/>
        <v>410115.348803916</v>
      </c>
      <c r="P714" s="16">
        <f t="shared" si="117"/>
        <v>216824.015639118</v>
      </c>
      <c r="Q714" s="16">
        <f t="shared" si="118"/>
        <v>14.018691588785</v>
      </c>
      <c r="R714" s="16">
        <f t="shared" si="119"/>
        <v>1.89146643924588</v>
      </c>
      <c r="S714" s="16">
        <v>76.3636363636364</v>
      </c>
    </row>
    <row r="715" spans="1:19">
      <c r="A715" s="5">
        <v>96</v>
      </c>
      <c r="B715" s="6">
        <v>121</v>
      </c>
      <c r="C715" s="6">
        <v>3.76</v>
      </c>
      <c r="D715" s="6">
        <v>2310</v>
      </c>
      <c r="E715" s="6">
        <v>333</v>
      </c>
      <c r="F715" s="6">
        <v>21.4</v>
      </c>
      <c r="G715" s="5" t="s">
        <v>20</v>
      </c>
      <c r="H715" s="6">
        <v>629</v>
      </c>
      <c r="I715" s="14">
        <f t="shared" si="110"/>
        <v>11499.014510302</v>
      </c>
      <c r="J715" s="15">
        <f t="shared" si="111"/>
        <v>1384.88441337782</v>
      </c>
      <c r="K715" s="15">
        <f t="shared" si="112"/>
        <v>10114.1300969242</v>
      </c>
      <c r="L715" s="15">
        <f t="shared" si="113"/>
        <v>0.120435052250529</v>
      </c>
      <c r="M715" s="15">
        <f t="shared" si="114"/>
        <v>0.13692570691759</v>
      </c>
      <c r="N715" s="16">
        <f t="shared" si="115"/>
        <v>32.1808510638298</v>
      </c>
      <c r="O715" s="16">
        <f t="shared" si="116"/>
        <v>461166.509654814</v>
      </c>
      <c r="P715" s="16">
        <f t="shared" si="117"/>
        <v>216442.384074178</v>
      </c>
      <c r="Q715" s="16">
        <f t="shared" si="118"/>
        <v>15.5607476635514</v>
      </c>
      <c r="R715" s="16">
        <f t="shared" si="119"/>
        <v>2.13066637399801</v>
      </c>
      <c r="S715" s="16">
        <v>76.3636363636364</v>
      </c>
    </row>
    <row r="716" spans="1:19">
      <c r="A716" s="5">
        <v>97</v>
      </c>
      <c r="B716" s="6">
        <v>121</v>
      </c>
      <c r="C716" s="6">
        <v>3.71</v>
      </c>
      <c r="D716" s="6">
        <v>2310</v>
      </c>
      <c r="E716" s="6">
        <v>313</v>
      </c>
      <c r="F716" s="6">
        <v>24.6</v>
      </c>
      <c r="G716" s="5" t="s">
        <v>20</v>
      </c>
      <c r="H716" s="6">
        <v>695</v>
      </c>
      <c r="I716" s="14">
        <f t="shared" si="110"/>
        <v>11499.014510302</v>
      </c>
      <c r="J716" s="15">
        <f t="shared" si="111"/>
        <v>1367.05116267972</v>
      </c>
      <c r="K716" s="15">
        <f t="shared" si="112"/>
        <v>10131.9633476223</v>
      </c>
      <c r="L716" s="15">
        <f t="shared" si="113"/>
        <v>0.118884201898777</v>
      </c>
      <c r="M716" s="15">
        <f t="shared" si="114"/>
        <v>0.13492460599954</v>
      </c>
      <c r="N716" s="16">
        <f t="shared" si="115"/>
        <v>32.6145552560647</v>
      </c>
      <c r="O716" s="16">
        <f t="shared" si="116"/>
        <v>427887.013918752</v>
      </c>
      <c r="P716" s="16">
        <f t="shared" si="117"/>
        <v>249246.298351509</v>
      </c>
      <c r="Q716" s="16">
        <f t="shared" si="118"/>
        <v>12.7235772357724</v>
      </c>
      <c r="R716" s="16">
        <f t="shared" si="119"/>
        <v>1.7167236454413</v>
      </c>
      <c r="S716" s="16">
        <v>76.3636363636364</v>
      </c>
    </row>
    <row r="717" spans="1:19">
      <c r="A717" s="5">
        <v>98</v>
      </c>
      <c r="B717" s="6">
        <v>121</v>
      </c>
      <c r="C717" s="6">
        <v>3.86</v>
      </c>
      <c r="D717" s="6">
        <v>2310</v>
      </c>
      <c r="E717" s="6">
        <v>332</v>
      </c>
      <c r="F717" s="6">
        <v>24.6</v>
      </c>
      <c r="G717" s="5" t="s">
        <v>20</v>
      </c>
      <c r="H717" s="6">
        <v>755</v>
      </c>
      <c r="I717" s="14">
        <f t="shared" si="110"/>
        <v>11499.014510302</v>
      </c>
      <c r="J717" s="15">
        <f t="shared" si="111"/>
        <v>1420.50379088422</v>
      </c>
      <c r="K717" s="15">
        <f t="shared" si="112"/>
        <v>10078.5107194178</v>
      </c>
      <c r="L717" s="15">
        <f t="shared" si="113"/>
        <v>0.123532654873301</v>
      </c>
      <c r="M717" s="15">
        <f t="shared" si="114"/>
        <v>0.140943819025503</v>
      </c>
      <c r="N717" s="16">
        <f t="shared" si="115"/>
        <v>31.3471502590674</v>
      </c>
      <c r="O717" s="16">
        <f t="shared" si="116"/>
        <v>471607.258573561</v>
      </c>
      <c r="P717" s="16">
        <f t="shared" si="117"/>
        <v>247931.363697678</v>
      </c>
      <c r="Q717" s="16">
        <f t="shared" si="118"/>
        <v>13.4959349593496</v>
      </c>
      <c r="R717" s="16">
        <f t="shared" si="119"/>
        <v>1.90216861449053</v>
      </c>
      <c r="S717" s="16">
        <v>76.3636363636364</v>
      </c>
    </row>
    <row r="718" spans="1:19">
      <c r="A718" s="5">
        <v>101</v>
      </c>
      <c r="B718" s="6">
        <v>121</v>
      </c>
      <c r="C718" s="6">
        <v>5.69</v>
      </c>
      <c r="D718" s="6">
        <v>2310</v>
      </c>
      <c r="E718" s="6">
        <v>349</v>
      </c>
      <c r="F718" s="6">
        <v>21.4</v>
      </c>
      <c r="G718" s="5" t="s">
        <v>20</v>
      </c>
      <c r="H718" s="6">
        <v>786</v>
      </c>
      <c r="I718" s="14">
        <f t="shared" si="110"/>
        <v>11499.014510302</v>
      </c>
      <c r="J718" s="15">
        <f t="shared" si="111"/>
        <v>2061.24260815815</v>
      </c>
      <c r="K718" s="15">
        <f t="shared" si="112"/>
        <v>9437.77190214389</v>
      </c>
      <c r="L718" s="15">
        <f t="shared" si="113"/>
        <v>0.179253848780821</v>
      </c>
      <c r="M718" s="15">
        <f t="shared" si="114"/>
        <v>0.218403520399758</v>
      </c>
      <c r="N718" s="16">
        <f t="shared" si="115"/>
        <v>21.2653778558875</v>
      </c>
      <c r="O718" s="16">
        <f t="shared" si="116"/>
        <v>719373.670247193</v>
      </c>
      <c r="P718" s="16">
        <f t="shared" si="117"/>
        <v>201968.318705879</v>
      </c>
      <c r="Q718" s="16">
        <f t="shared" si="118"/>
        <v>16.3084112149533</v>
      </c>
      <c r="R718" s="16">
        <f t="shared" si="119"/>
        <v>3.56181442147269</v>
      </c>
      <c r="S718" s="16">
        <v>76.3636363636364</v>
      </c>
    </row>
    <row r="719" spans="1:19">
      <c r="A719" s="5">
        <v>102</v>
      </c>
      <c r="B719" s="6">
        <v>121</v>
      </c>
      <c r="C719" s="6">
        <v>5.49</v>
      </c>
      <c r="D719" s="6">
        <v>2310</v>
      </c>
      <c r="E719" s="6">
        <v>348</v>
      </c>
      <c r="F719" s="6">
        <v>21.4</v>
      </c>
      <c r="G719" s="5" t="s">
        <v>20</v>
      </c>
      <c r="H719" s="6">
        <v>816</v>
      </c>
      <c r="I719" s="14">
        <f t="shared" si="110"/>
        <v>11499.014510302</v>
      </c>
      <c r="J719" s="15">
        <f t="shared" si="111"/>
        <v>1992.2406671147</v>
      </c>
      <c r="K719" s="15">
        <f t="shared" si="112"/>
        <v>9506.77384318734</v>
      </c>
      <c r="L719" s="15">
        <f t="shared" si="113"/>
        <v>0.173253165767366</v>
      </c>
      <c r="M719" s="15">
        <f t="shared" si="114"/>
        <v>0.209560119970916</v>
      </c>
      <c r="N719" s="16">
        <f t="shared" si="115"/>
        <v>22.040072859745</v>
      </c>
      <c r="O719" s="16">
        <f t="shared" si="116"/>
        <v>693299.752155917</v>
      </c>
      <c r="P719" s="16">
        <f t="shared" si="117"/>
        <v>203444.960244209</v>
      </c>
      <c r="Q719" s="16">
        <f t="shared" si="118"/>
        <v>16.2616822429907</v>
      </c>
      <c r="R719" s="16">
        <f t="shared" si="119"/>
        <v>3.40780008177003</v>
      </c>
      <c r="S719" s="16">
        <v>76.3636363636364</v>
      </c>
    </row>
    <row r="720" spans="1:19">
      <c r="A720" s="5">
        <v>103</v>
      </c>
      <c r="B720" s="6">
        <v>121</v>
      </c>
      <c r="C720" s="6">
        <v>5.64</v>
      </c>
      <c r="D720" s="6">
        <v>2310</v>
      </c>
      <c r="E720" s="6">
        <v>336</v>
      </c>
      <c r="F720" s="6">
        <v>24.6</v>
      </c>
      <c r="G720" s="5" t="s">
        <v>20</v>
      </c>
      <c r="H720" s="6">
        <v>874</v>
      </c>
      <c r="I720" s="14">
        <f t="shared" si="110"/>
        <v>11499.014510302</v>
      </c>
      <c r="J720" s="15">
        <f t="shared" si="111"/>
        <v>2044.01568484219</v>
      </c>
      <c r="K720" s="15">
        <f t="shared" si="112"/>
        <v>9454.99882545985</v>
      </c>
      <c r="L720" s="15">
        <f t="shared" si="113"/>
        <v>0.177755727067823</v>
      </c>
      <c r="M720" s="15">
        <f t="shared" si="114"/>
        <v>0.216183600080223</v>
      </c>
      <c r="N720" s="16">
        <f t="shared" si="115"/>
        <v>21.4539007092199</v>
      </c>
      <c r="O720" s="16">
        <f t="shared" si="116"/>
        <v>686789.270106975</v>
      </c>
      <c r="P720" s="16">
        <f t="shared" si="117"/>
        <v>232592.971106312</v>
      </c>
      <c r="Q720" s="16">
        <f t="shared" si="118"/>
        <v>13.6585365853659</v>
      </c>
      <c r="R720" s="16">
        <f t="shared" si="119"/>
        <v>2.95275161085182</v>
      </c>
      <c r="S720" s="16">
        <v>76.3636363636364</v>
      </c>
    </row>
    <row r="721" spans="1:19">
      <c r="A721" s="5">
        <v>104</v>
      </c>
      <c r="B721" s="6">
        <v>121</v>
      </c>
      <c r="C721" s="6">
        <v>5.44</v>
      </c>
      <c r="D721" s="6">
        <v>2310</v>
      </c>
      <c r="E721" s="6">
        <v>327</v>
      </c>
      <c r="F721" s="6">
        <v>24.6</v>
      </c>
      <c r="G721" s="5" t="s">
        <v>20</v>
      </c>
      <c r="H721" s="6">
        <v>865</v>
      </c>
      <c r="I721" s="14">
        <f t="shared" si="110"/>
        <v>11499.014510302</v>
      </c>
      <c r="J721" s="15">
        <f t="shared" si="111"/>
        <v>1974.95091194567</v>
      </c>
      <c r="K721" s="15">
        <f t="shared" si="112"/>
        <v>9524.06359835637</v>
      </c>
      <c r="L721" s="15">
        <f t="shared" si="113"/>
        <v>0.171749579946725</v>
      </c>
      <c r="M721" s="15">
        <f t="shared" si="114"/>
        <v>0.207364313724921</v>
      </c>
      <c r="N721" s="16">
        <f t="shared" si="115"/>
        <v>22.2426470588235</v>
      </c>
      <c r="O721" s="16">
        <f t="shared" si="116"/>
        <v>645808.948206234</v>
      </c>
      <c r="P721" s="16">
        <f t="shared" si="117"/>
        <v>234291.964519567</v>
      </c>
      <c r="Q721" s="16">
        <f t="shared" si="118"/>
        <v>13.2926829268293</v>
      </c>
      <c r="R721" s="16">
        <f t="shared" si="119"/>
        <v>2.75642807268492</v>
      </c>
      <c r="S721" s="16">
        <v>76.3636363636364</v>
      </c>
    </row>
    <row r="722" spans="1:19">
      <c r="A722" s="5" t="s">
        <v>568</v>
      </c>
      <c r="B722" s="6">
        <v>50.8</v>
      </c>
      <c r="C722" s="6">
        <v>1.65</v>
      </c>
      <c r="D722" s="6">
        <v>1524</v>
      </c>
      <c r="E722" s="6">
        <v>532</v>
      </c>
      <c r="F722" s="6">
        <v>21.6</v>
      </c>
      <c r="G722" s="5" t="s">
        <v>20</v>
      </c>
      <c r="H722" s="6">
        <v>115.2</v>
      </c>
      <c r="I722" s="14">
        <f t="shared" si="110"/>
        <v>2026.82991638999</v>
      </c>
      <c r="J722" s="15">
        <f t="shared" si="111"/>
        <v>254.775310224498</v>
      </c>
      <c r="K722" s="15">
        <f t="shared" si="112"/>
        <v>1772.05460616549</v>
      </c>
      <c r="L722" s="15">
        <f t="shared" si="113"/>
        <v>0.125701376402753</v>
      </c>
      <c r="M722" s="15">
        <f t="shared" si="114"/>
        <v>0.143773961218837</v>
      </c>
      <c r="N722" s="16">
        <f t="shared" si="115"/>
        <v>30.7878787878788</v>
      </c>
      <c r="O722" s="16">
        <f t="shared" si="116"/>
        <v>135540.465039433</v>
      </c>
      <c r="P722" s="16">
        <f t="shared" si="117"/>
        <v>38276.3794931746</v>
      </c>
      <c r="Q722" s="16">
        <f t="shared" si="118"/>
        <v>24.6296296296296</v>
      </c>
      <c r="R722" s="16">
        <f t="shared" si="119"/>
        <v>3.54109941520468</v>
      </c>
      <c r="S722" s="16">
        <v>120</v>
      </c>
    </row>
    <row r="723" spans="1:19">
      <c r="A723" s="5" t="s">
        <v>569</v>
      </c>
      <c r="B723" s="6">
        <v>50.8</v>
      </c>
      <c r="C723" s="6">
        <v>1.65</v>
      </c>
      <c r="D723" s="6">
        <v>1524</v>
      </c>
      <c r="E723" s="6">
        <v>532</v>
      </c>
      <c r="F723" s="6">
        <v>21.6</v>
      </c>
      <c r="G723" s="5" t="s">
        <v>20</v>
      </c>
      <c r="H723" s="6">
        <v>114.3</v>
      </c>
      <c r="I723" s="14">
        <f t="shared" si="110"/>
        <v>2026.82991638999</v>
      </c>
      <c r="J723" s="15">
        <f t="shared" si="111"/>
        <v>254.775310224498</v>
      </c>
      <c r="K723" s="15">
        <f t="shared" si="112"/>
        <v>1772.05460616549</v>
      </c>
      <c r="L723" s="15">
        <f t="shared" si="113"/>
        <v>0.125701376402753</v>
      </c>
      <c r="M723" s="15">
        <f t="shared" si="114"/>
        <v>0.143773961218837</v>
      </c>
      <c r="N723" s="16">
        <f t="shared" si="115"/>
        <v>30.7878787878788</v>
      </c>
      <c r="O723" s="16">
        <f t="shared" si="116"/>
        <v>135540.465039433</v>
      </c>
      <c r="P723" s="16">
        <f t="shared" si="117"/>
        <v>38276.3794931746</v>
      </c>
      <c r="Q723" s="16">
        <f t="shared" si="118"/>
        <v>24.6296296296296</v>
      </c>
      <c r="R723" s="16">
        <f t="shared" si="119"/>
        <v>3.54109941520468</v>
      </c>
      <c r="S723" s="16">
        <v>120</v>
      </c>
    </row>
    <row r="724" spans="1:19">
      <c r="A724" s="5" t="s">
        <v>570</v>
      </c>
      <c r="B724" s="6">
        <v>50.8</v>
      </c>
      <c r="C724" s="6">
        <v>1.65</v>
      </c>
      <c r="D724" s="6">
        <v>1524</v>
      </c>
      <c r="E724" s="6">
        <v>532</v>
      </c>
      <c r="F724" s="6">
        <v>28.3</v>
      </c>
      <c r="G724" s="5" t="s">
        <v>20</v>
      </c>
      <c r="H724" s="6">
        <v>120.5</v>
      </c>
      <c r="I724" s="14">
        <f t="shared" si="110"/>
        <v>2026.82991638999</v>
      </c>
      <c r="J724" s="15">
        <f t="shared" si="111"/>
        <v>254.775310224498</v>
      </c>
      <c r="K724" s="15">
        <f t="shared" si="112"/>
        <v>1772.05460616549</v>
      </c>
      <c r="L724" s="15">
        <f t="shared" si="113"/>
        <v>0.125701376402753</v>
      </c>
      <c r="M724" s="15">
        <f t="shared" si="114"/>
        <v>0.143773961218837</v>
      </c>
      <c r="N724" s="16">
        <f t="shared" si="115"/>
        <v>30.7878787878788</v>
      </c>
      <c r="O724" s="16">
        <f t="shared" si="116"/>
        <v>135540.465039433</v>
      </c>
      <c r="P724" s="16">
        <f t="shared" si="117"/>
        <v>50149.1453544834</v>
      </c>
      <c r="Q724" s="16">
        <f t="shared" si="118"/>
        <v>18.7985865724382</v>
      </c>
      <c r="R724" s="16">
        <f t="shared" si="119"/>
        <v>2.70274725683466</v>
      </c>
      <c r="S724" s="16">
        <v>120</v>
      </c>
    </row>
    <row r="725" spans="1:19">
      <c r="A725" s="5" t="s">
        <v>571</v>
      </c>
      <c r="B725" s="6">
        <v>69.9</v>
      </c>
      <c r="C725" s="6">
        <v>1.24</v>
      </c>
      <c r="D725" s="6">
        <v>1524</v>
      </c>
      <c r="E725" s="6">
        <v>532</v>
      </c>
      <c r="F725" s="6">
        <v>28.3</v>
      </c>
      <c r="G725" s="5" t="s">
        <v>20</v>
      </c>
      <c r="H725" s="6">
        <v>230.9</v>
      </c>
      <c r="I725" s="14">
        <f t="shared" si="110"/>
        <v>3837.46328034157</v>
      </c>
      <c r="J725" s="15">
        <f t="shared" si="111"/>
        <v>267.47017197839</v>
      </c>
      <c r="K725" s="15">
        <f t="shared" si="112"/>
        <v>3569.99310836318</v>
      </c>
      <c r="L725" s="15">
        <f t="shared" si="113"/>
        <v>0.0696997345482308</v>
      </c>
      <c r="M725" s="15">
        <f t="shared" si="114"/>
        <v>0.0749217614319216</v>
      </c>
      <c r="N725" s="16">
        <f t="shared" si="115"/>
        <v>56.3709677419355</v>
      </c>
      <c r="O725" s="16">
        <f t="shared" si="116"/>
        <v>142294.131492504</v>
      </c>
      <c r="P725" s="16">
        <f t="shared" si="117"/>
        <v>101030.804966678</v>
      </c>
      <c r="Q725" s="16">
        <f t="shared" si="118"/>
        <v>18.7985865724382</v>
      </c>
      <c r="R725" s="16">
        <f t="shared" si="119"/>
        <v>1.40842321843754</v>
      </c>
      <c r="S725" s="16">
        <v>87.2103004291845</v>
      </c>
    </row>
    <row r="726" spans="1:19">
      <c r="A726" s="5" t="s">
        <v>572</v>
      </c>
      <c r="B726" s="6">
        <v>76.2</v>
      </c>
      <c r="C726" s="6">
        <v>1.65</v>
      </c>
      <c r="D726" s="6">
        <v>1524</v>
      </c>
      <c r="E726" s="6">
        <v>532</v>
      </c>
      <c r="F726" s="6">
        <v>27.4</v>
      </c>
      <c r="G726" s="5" t="s">
        <v>20</v>
      </c>
      <c r="H726" s="6">
        <v>226.4</v>
      </c>
      <c r="I726" s="14">
        <f t="shared" si="110"/>
        <v>4560.36731187748</v>
      </c>
      <c r="J726" s="15">
        <f t="shared" si="111"/>
        <v>386.439458336446</v>
      </c>
      <c r="K726" s="15">
        <f t="shared" si="112"/>
        <v>4173.92785354103</v>
      </c>
      <c r="L726" s="15">
        <f t="shared" si="113"/>
        <v>0.0847386694773389</v>
      </c>
      <c r="M726" s="15">
        <f t="shared" si="114"/>
        <v>0.0925841250486883</v>
      </c>
      <c r="N726" s="16">
        <f t="shared" si="115"/>
        <v>46.1818181818182</v>
      </c>
      <c r="O726" s="16">
        <f t="shared" si="116"/>
        <v>205585.791834989</v>
      </c>
      <c r="P726" s="16">
        <f t="shared" si="117"/>
        <v>114365.623187024</v>
      </c>
      <c r="Q726" s="16">
        <f t="shared" si="118"/>
        <v>19.4160583941606</v>
      </c>
      <c r="R726" s="16">
        <f t="shared" si="119"/>
        <v>1.7976187783176</v>
      </c>
      <c r="S726" s="16">
        <v>80</v>
      </c>
    </row>
    <row r="727" spans="1:19">
      <c r="A727" s="5" t="s">
        <v>573</v>
      </c>
      <c r="B727" s="6">
        <v>76.2</v>
      </c>
      <c r="C727" s="6">
        <v>1.65</v>
      </c>
      <c r="D727" s="6">
        <v>1524</v>
      </c>
      <c r="E727" s="6">
        <v>532</v>
      </c>
      <c r="F727" s="6">
        <v>27.4</v>
      </c>
      <c r="G727" s="5" t="s">
        <v>20</v>
      </c>
      <c r="H727" s="6">
        <v>245.1</v>
      </c>
      <c r="I727" s="14">
        <f t="shared" si="110"/>
        <v>4560.36731187748</v>
      </c>
      <c r="J727" s="15">
        <f t="shared" si="111"/>
        <v>386.439458336446</v>
      </c>
      <c r="K727" s="15">
        <f t="shared" si="112"/>
        <v>4173.92785354103</v>
      </c>
      <c r="L727" s="15">
        <f t="shared" si="113"/>
        <v>0.0847386694773389</v>
      </c>
      <c r="M727" s="15">
        <f t="shared" si="114"/>
        <v>0.0925841250486883</v>
      </c>
      <c r="N727" s="16">
        <f t="shared" si="115"/>
        <v>46.1818181818182</v>
      </c>
      <c r="O727" s="16">
        <f t="shared" si="116"/>
        <v>205585.791834989</v>
      </c>
      <c r="P727" s="16">
        <f t="shared" si="117"/>
        <v>114365.623187024</v>
      </c>
      <c r="Q727" s="16">
        <f t="shared" si="118"/>
        <v>19.4160583941606</v>
      </c>
      <c r="R727" s="16">
        <f t="shared" si="119"/>
        <v>1.7976187783176</v>
      </c>
      <c r="S727" s="16">
        <v>80</v>
      </c>
    </row>
    <row r="728" spans="1:19">
      <c r="A728" s="5" t="s">
        <v>574</v>
      </c>
      <c r="B728" s="6">
        <v>76.2</v>
      </c>
      <c r="C728" s="6">
        <v>1.65</v>
      </c>
      <c r="D728" s="6">
        <v>1524</v>
      </c>
      <c r="E728" s="6">
        <v>532</v>
      </c>
      <c r="F728" s="6">
        <v>27.7</v>
      </c>
      <c r="G728" s="5" t="s">
        <v>20</v>
      </c>
      <c r="H728" s="6">
        <v>320.3</v>
      </c>
      <c r="I728" s="14">
        <f t="shared" si="110"/>
        <v>4560.36731187748</v>
      </c>
      <c r="J728" s="15">
        <f t="shared" si="111"/>
        <v>386.439458336446</v>
      </c>
      <c r="K728" s="15">
        <f t="shared" si="112"/>
        <v>4173.92785354103</v>
      </c>
      <c r="L728" s="15">
        <f t="shared" si="113"/>
        <v>0.0847386694773389</v>
      </c>
      <c r="M728" s="15">
        <f t="shared" si="114"/>
        <v>0.0925841250486883</v>
      </c>
      <c r="N728" s="16">
        <f t="shared" si="115"/>
        <v>46.1818181818182</v>
      </c>
      <c r="O728" s="16">
        <f t="shared" si="116"/>
        <v>205585.791834989</v>
      </c>
      <c r="P728" s="16">
        <f t="shared" si="117"/>
        <v>115617.801543087</v>
      </c>
      <c r="Q728" s="16">
        <f t="shared" si="118"/>
        <v>19.2057761732852</v>
      </c>
      <c r="R728" s="16">
        <f t="shared" si="119"/>
        <v>1.77814998288456</v>
      </c>
      <c r="S728" s="16">
        <v>80</v>
      </c>
    </row>
    <row r="729" spans="1:19">
      <c r="A729" s="5">
        <v>1</v>
      </c>
      <c r="B729" s="6">
        <v>101.6762</v>
      </c>
      <c r="C729" s="6">
        <v>3.0734</v>
      </c>
      <c r="D729" s="6">
        <v>1524</v>
      </c>
      <c r="E729" s="6">
        <v>605.0838988928</v>
      </c>
      <c r="F729" s="6">
        <v>34.129048536</v>
      </c>
      <c r="G729" s="5" t="s">
        <v>20</v>
      </c>
      <c r="H729" s="6">
        <v>818.4727744</v>
      </c>
      <c r="I729" s="14">
        <f t="shared" si="110"/>
        <v>8119.48520542561</v>
      </c>
      <c r="J729" s="15">
        <f t="shared" si="111"/>
        <v>952.046601986539</v>
      </c>
      <c r="K729" s="15">
        <f t="shared" si="112"/>
        <v>7167.43860343907</v>
      </c>
      <c r="L729" s="15">
        <f t="shared" si="113"/>
        <v>0.11725455221599</v>
      </c>
      <c r="M729" s="15">
        <f t="shared" si="114"/>
        <v>0.132829404569957</v>
      </c>
      <c r="N729" s="16">
        <f t="shared" si="115"/>
        <v>33.0826446280992</v>
      </c>
      <c r="O729" s="16">
        <f t="shared" si="116"/>
        <v>576068.069857657</v>
      </c>
      <c r="P729" s="16">
        <f t="shared" si="117"/>
        <v>244617.859975572</v>
      </c>
      <c r="Q729" s="16">
        <f t="shared" si="118"/>
        <v>17.7292929292929</v>
      </c>
      <c r="R729" s="16">
        <f t="shared" si="119"/>
        <v>2.35497142324434</v>
      </c>
      <c r="S729" s="16">
        <v>59.9550337247065</v>
      </c>
    </row>
    <row r="730" spans="1:19">
      <c r="A730" s="5">
        <v>2</v>
      </c>
      <c r="B730" s="6">
        <v>101.727</v>
      </c>
      <c r="C730" s="6">
        <v>3.0988</v>
      </c>
      <c r="D730" s="6">
        <v>1524</v>
      </c>
      <c r="E730" s="6">
        <v>605.0838988928</v>
      </c>
      <c r="F730" s="6">
        <v>31.1643029056</v>
      </c>
      <c r="G730" s="5" t="s">
        <v>20</v>
      </c>
      <c r="H730" s="6">
        <v>800.679888</v>
      </c>
      <c r="I730" s="14">
        <f t="shared" si="110"/>
        <v>8127.60063241084</v>
      </c>
      <c r="J730" s="15">
        <f t="shared" si="111"/>
        <v>960.162028971764</v>
      </c>
      <c r="K730" s="15">
        <f t="shared" si="112"/>
        <v>7167.43860343908</v>
      </c>
      <c r="L730" s="15">
        <f t="shared" si="113"/>
        <v>0.118135975473854</v>
      </c>
      <c r="M730" s="15">
        <f t="shared" si="114"/>
        <v>0.13396166777223</v>
      </c>
      <c r="N730" s="16">
        <f t="shared" si="115"/>
        <v>32.827868852459</v>
      </c>
      <c r="O730" s="16">
        <f t="shared" si="116"/>
        <v>580978.584059056</v>
      </c>
      <c r="P730" s="16">
        <f t="shared" si="117"/>
        <v>223368.227694866</v>
      </c>
      <c r="Q730" s="16">
        <f t="shared" si="118"/>
        <v>19.4159292035398</v>
      </c>
      <c r="R730" s="16">
        <f t="shared" si="119"/>
        <v>2.60099025745374</v>
      </c>
      <c r="S730" s="16">
        <v>59.9250936329588</v>
      </c>
    </row>
    <row r="731" spans="1:19">
      <c r="A731" s="5">
        <v>5</v>
      </c>
      <c r="B731" s="6">
        <v>120.65</v>
      </c>
      <c r="C731" s="6">
        <v>4.0894</v>
      </c>
      <c r="D731" s="6">
        <v>1050.036</v>
      </c>
      <c r="E731" s="6">
        <v>451.60660184</v>
      </c>
      <c r="F731" s="6">
        <v>34.4048388272</v>
      </c>
      <c r="G731" s="5" t="s">
        <v>20</v>
      </c>
      <c r="H731" s="6">
        <v>1156.537616</v>
      </c>
      <c r="I731" s="14">
        <f t="shared" si="110"/>
        <v>11432.5874971373</v>
      </c>
      <c r="J731" s="15">
        <f t="shared" si="111"/>
        <v>1497.4807202965</v>
      </c>
      <c r="K731" s="15">
        <f t="shared" si="112"/>
        <v>9935.10677684079</v>
      </c>
      <c r="L731" s="15">
        <f t="shared" si="113"/>
        <v>0.130983534626039</v>
      </c>
      <c r="M731" s="15">
        <f t="shared" si="114"/>
        <v>0.150726182811361</v>
      </c>
      <c r="N731" s="16">
        <f t="shared" si="115"/>
        <v>29.5031055900621</v>
      </c>
      <c r="O731" s="16">
        <f t="shared" si="116"/>
        <v>676272.179414018</v>
      </c>
      <c r="P731" s="16">
        <f t="shared" si="117"/>
        <v>341815.74738823</v>
      </c>
      <c r="Q731" s="16">
        <f t="shared" si="118"/>
        <v>13.12625250501</v>
      </c>
      <c r="R731" s="16">
        <f t="shared" si="119"/>
        <v>1.97846993469823</v>
      </c>
      <c r="S731" s="16">
        <v>34.8126315789474</v>
      </c>
    </row>
    <row r="732" spans="1:19">
      <c r="A732" s="5">
        <v>6</v>
      </c>
      <c r="B732" s="6">
        <v>120.8278</v>
      </c>
      <c r="C732" s="6">
        <v>4.0894</v>
      </c>
      <c r="D732" s="6">
        <v>1050.036</v>
      </c>
      <c r="E732" s="6">
        <v>451.60660184</v>
      </c>
      <c r="F732" s="6">
        <v>29.5785087312</v>
      </c>
      <c r="G732" s="5" t="s">
        <v>20</v>
      </c>
      <c r="H732" s="6">
        <v>1092.70563604</v>
      </c>
      <c r="I732" s="14">
        <f t="shared" si="110"/>
        <v>11466.3083731638</v>
      </c>
      <c r="J732" s="15">
        <f t="shared" si="111"/>
        <v>1499.76495761227</v>
      </c>
      <c r="K732" s="15">
        <f t="shared" si="112"/>
        <v>9966.54341555148</v>
      </c>
      <c r="L732" s="15">
        <f t="shared" si="113"/>
        <v>0.130797542574591</v>
      </c>
      <c r="M732" s="15">
        <f t="shared" si="114"/>
        <v>0.150479950277655</v>
      </c>
      <c r="N732" s="16">
        <f t="shared" si="115"/>
        <v>29.5465838509317</v>
      </c>
      <c r="O732" s="16">
        <f t="shared" si="116"/>
        <v>677303.75606599</v>
      </c>
      <c r="P732" s="16">
        <f t="shared" si="117"/>
        <v>294795.491436773</v>
      </c>
      <c r="Q732" s="16">
        <f t="shared" si="118"/>
        <v>15.2680652680653</v>
      </c>
      <c r="R732" s="16">
        <f t="shared" si="119"/>
        <v>2.29753770237445</v>
      </c>
      <c r="S732" s="16">
        <v>34.7614042463738</v>
      </c>
    </row>
    <row r="733" spans="1:19">
      <c r="A733" s="5">
        <v>7</v>
      </c>
      <c r="B733" s="6">
        <v>120.8278</v>
      </c>
      <c r="C733" s="6">
        <v>4.0894</v>
      </c>
      <c r="D733" s="6">
        <v>1050.036</v>
      </c>
      <c r="E733" s="6">
        <v>451.60660184</v>
      </c>
      <c r="F733" s="6">
        <v>25.9242873728</v>
      </c>
      <c r="G733" s="5" t="s">
        <v>20</v>
      </c>
      <c r="H733" s="6">
        <v>949.6953116</v>
      </c>
      <c r="I733" s="14">
        <f t="shared" si="110"/>
        <v>11466.3083731638</v>
      </c>
      <c r="J733" s="15">
        <f t="shared" si="111"/>
        <v>1499.76495761227</v>
      </c>
      <c r="K733" s="15">
        <f t="shared" si="112"/>
        <v>9966.54341555148</v>
      </c>
      <c r="L733" s="15">
        <f t="shared" si="113"/>
        <v>0.130797542574591</v>
      </c>
      <c r="M733" s="15">
        <f t="shared" si="114"/>
        <v>0.150479950277655</v>
      </c>
      <c r="N733" s="16">
        <f t="shared" si="115"/>
        <v>29.5465838509317</v>
      </c>
      <c r="O733" s="16">
        <f t="shared" si="116"/>
        <v>677303.75606599</v>
      </c>
      <c r="P733" s="16">
        <f t="shared" si="117"/>
        <v>258375.535618244</v>
      </c>
      <c r="Q733" s="16">
        <f t="shared" si="118"/>
        <v>17.4202127659574</v>
      </c>
      <c r="R733" s="16">
        <f t="shared" si="119"/>
        <v>2.62139275084744</v>
      </c>
      <c r="S733" s="16">
        <v>34.7614042463738</v>
      </c>
    </row>
    <row r="734" spans="1:19">
      <c r="A734" s="5">
        <v>11</v>
      </c>
      <c r="B734" s="6">
        <v>152.6032</v>
      </c>
      <c r="C734" s="6">
        <v>3.1496</v>
      </c>
      <c r="D734" s="6">
        <v>1676.4</v>
      </c>
      <c r="E734" s="6">
        <v>415.1333358288</v>
      </c>
      <c r="F734" s="6">
        <v>20.8911145584</v>
      </c>
      <c r="G734" s="5" t="s">
        <v>20</v>
      </c>
      <c r="H734" s="6">
        <v>938.5747576</v>
      </c>
      <c r="I734" s="14">
        <f t="shared" si="110"/>
        <v>18290.1455947819</v>
      </c>
      <c r="J734" s="15">
        <f t="shared" si="111"/>
        <v>1478.8075362768</v>
      </c>
      <c r="K734" s="15">
        <f t="shared" si="112"/>
        <v>16811.3380585051</v>
      </c>
      <c r="L734" s="15">
        <f t="shared" si="113"/>
        <v>0.0808526935235932</v>
      </c>
      <c r="M734" s="15">
        <f t="shared" si="114"/>
        <v>0.0879648919753089</v>
      </c>
      <c r="N734" s="16">
        <f t="shared" si="115"/>
        <v>48.4516129032258</v>
      </c>
      <c r="O734" s="16">
        <f t="shared" si="116"/>
        <v>613902.305583358</v>
      </c>
      <c r="P734" s="16">
        <f t="shared" si="117"/>
        <v>351207.589260221</v>
      </c>
      <c r="Q734" s="16">
        <f t="shared" si="118"/>
        <v>19.8712871287129</v>
      </c>
      <c r="R734" s="16">
        <f t="shared" si="119"/>
        <v>1.74797562568757</v>
      </c>
      <c r="S734" s="16">
        <v>43.9414114513981</v>
      </c>
    </row>
    <row r="735" spans="1:19">
      <c r="A735" s="5">
        <v>12</v>
      </c>
      <c r="B735" s="6">
        <v>152.7048</v>
      </c>
      <c r="C735" s="6">
        <v>3.1496</v>
      </c>
      <c r="D735" s="6">
        <v>1676.4</v>
      </c>
      <c r="E735" s="6">
        <v>415.1333358288</v>
      </c>
      <c r="F735" s="6">
        <v>23.097436888</v>
      </c>
      <c r="G735" s="5" t="s">
        <v>20</v>
      </c>
      <c r="H735" s="6">
        <v>880.7478768</v>
      </c>
      <c r="I735" s="14">
        <f t="shared" si="110"/>
        <v>18314.508090377</v>
      </c>
      <c r="J735" s="15">
        <f t="shared" si="111"/>
        <v>1479.81284391533</v>
      </c>
      <c r="K735" s="15">
        <f t="shared" si="112"/>
        <v>16834.6952464616</v>
      </c>
      <c r="L735" s="15">
        <f t="shared" si="113"/>
        <v>0.0808000322265207</v>
      </c>
      <c r="M735" s="15">
        <f t="shared" si="114"/>
        <v>0.0879025620749723</v>
      </c>
      <c r="N735" s="16">
        <f t="shared" si="115"/>
        <v>48.4838709677419</v>
      </c>
      <c r="O735" s="16">
        <f t="shared" si="116"/>
        <v>614319.642296875</v>
      </c>
      <c r="P735" s="16">
        <f t="shared" si="117"/>
        <v>388838.310983861</v>
      </c>
      <c r="Q735" s="16">
        <f t="shared" si="118"/>
        <v>17.9731343283582</v>
      </c>
      <c r="R735" s="16">
        <f t="shared" si="119"/>
        <v>1.57988455598032</v>
      </c>
      <c r="S735" s="16">
        <v>43.9121756487026</v>
      </c>
    </row>
    <row r="736" spans="1:19">
      <c r="A736" s="5">
        <v>18</v>
      </c>
      <c r="B736" s="6">
        <v>76.4794</v>
      </c>
      <c r="C736" s="6">
        <v>1.7018</v>
      </c>
      <c r="D736" s="6">
        <v>1524</v>
      </c>
      <c r="E736" s="6">
        <v>363.2847610832</v>
      </c>
      <c r="F736" s="6">
        <v>24.9590213536</v>
      </c>
      <c r="G736" s="5" t="s">
        <v>20</v>
      </c>
      <c r="H736" s="6">
        <v>244.652188</v>
      </c>
      <c r="I736" s="14">
        <f t="shared" si="110"/>
        <v>4593.87131710288</v>
      </c>
      <c r="J736" s="15">
        <f t="shared" si="111"/>
        <v>399.788147348093</v>
      </c>
      <c r="K736" s="15">
        <f t="shared" si="112"/>
        <v>4194.08316975479</v>
      </c>
      <c r="L736" s="15">
        <f t="shared" si="113"/>
        <v>0.0870264140529339</v>
      </c>
      <c r="M736" s="15">
        <f t="shared" si="114"/>
        <v>0.0953219407357308</v>
      </c>
      <c r="N736" s="16">
        <f t="shared" si="115"/>
        <v>44.9402985074627</v>
      </c>
      <c r="O736" s="16">
        <f t="shared" si="116"/>
        <v>145236.941593247</v>
      </c>
      <c r="P736" s="16">
        <f t="shared" si="117"/>
        <v>104680.211392684</v>
      </c>
      <c r="Q736" s="16">
        <f t="shared" si="118"/>
        <v>14.5552486187845</v>
      </c>
      <c r="R736" s="16">
        <f t="shared" si="119"/>
        <v>1.38743454623361</v>
      </c>
      <c r="S736" s="16">
        <v>79.7077382929259</v>
      </c>
    </row>
    <row r="737" spans="1:19">
      <c r="A737" s="5">
        <v>20</v>
      </c>
      <c r="B737" s="6">
        <v>76.4286</v>
      </c>
      <c r="C737" s="6">
        <v>1.7272</v>
      </c>
      <c r="D737" s="6">
        <v>609.5492</v>
      </c>
      <c r="E737" s="6">
        <v>363.2847610832</v>
      </c>
      <c r="F737" s="6">
        <v>40.8859106704</v>
      </c>
      <c r="G737" s="5" t="s">
        <v>20</v>
      </c>
      <c r="H737" s="6">
        <v>411.460498</v>
      </c>
      <c r="I737" s="14">
        <f t="shared" si="110"/>
        <v>4587.77055905455</v>
      </c>
      <c r="J737" s="15">
        <f t="shared" si="111"/>
        <v>405.341661319002</v>
      </c>
      <c r="K737" s="15">
        <f t="shared" si="112"/>
        <v>4182.42889773555</v>
      </c>
      <c r="L737" s="15">
        <f t="shared" si="113"/>
        <v>0.0883526445146671</v>
      </c>
      <c r="M737" s="15">
        <f t="shared" si="114"/>
        <v>0.0969153741115509</v>
      </c>
      <c r="N737" s="16">
        <f t="shared" si="115"/>
        <v>44.25</v>
      </c>
      <c r="O737" s="16">
        <f t="shared" si="116"/>
        <v>147254.448589341</v>
      </c>
      <c r="P737" s="16">
        <f t="shared" si="117"/>
        <v>171002.414298115</v>
      </c>
      <c r="Q737" s="16">
        <f t="shared" si="118"/>
        <v>8.88532883642496</v>
      </c>
      <c r="R737" s="16">
        <f t="shared" si="119"/>
        <v>0.861124968286276</v>
      </c>
      <c r="S737" s="16">
        <v>31.9016284479894</v>
      </c>
    </row>
    <row r="738" spans="1:19">
      <c r="A738" s="5">
        <v>21</v>
      </c>
      <c r="B738" s="6">
        <v>76.4794</v>
      </c>
      <c r="C738" s="6">
        <v>1.7272</v>
      </c>
      <c r="D738" s="6">
        <v>609.4476</v>
      </c>
      <c r="E738" s="6">
        <v>363.2847610832</v>
      </c>
      <c r="F738" s="6">
        <v>25.9242873728</v>
      </c>
      <c r="G738" s="5" t="s">
        <v>20</v>
      </c>
      <c r="H738" s="6">
        <v>330.2804538</v>
      </c>
      <c r="I738" s="14">
        <f t="shared" si="110"/>
        <v>4593.87131710288</v>
      </c>
      <c r="J738" s="15">
        <f t="shared" si="111"/>
        <v>405.617310187632</v>
      </c>
      <c r="K738" s="15">
        <f t="shared" si="112"/>
        <v>4188.25400691525</v>
      </c>
      <c r="L738" s="15">
        <f t="shared" si="113"/>
        <v>0.0882953139495935</v>
      </c>
      <c r="M738" s="15">
        <f t="shared" si="114"/>
        <v>0.0968463969754257</v>
      </c>
      <c r="N738" s="16">
        <f t="shared" si="115"/>
        <v>44.2794117647059</v>
      </c>
      <c r="O738" s="16">
        <f t="shared" si="116"/>
        <v>147354.587622724</v>
      </c>
      <c r="P738" s="16">
        <f t="shared" si="117"/>
        <v>108577.500465552</v>
      </c>
      <c r="Q738" s="16">
        <f t="shared" si="118"/>
        <v>14.0132978723404</v>
      </c>
      <c r="R738" s="16">
        <f t="shared" si="119"/>
        <v>1.35713740867957</v>
      </c>
      <c r="S738" s="16">
        <v>31.8751245433411</v>
      </c>
    </row>
    <row r="739" spans="1:19">
      <c r="A739" s="5">
        <v>-1</v>
      </c>
      <c r="B739" s="6">
        <v>114.3</v>
      </c>
      <c r="C739" s="6">
        <v>3.18</v>
      </c>
      <c r="D739" s="6">
        <v>914</v>
      </c>
      <c r="E739" s="6">
        <v>420</v>
      </c>
      <c r="F739" s="6">
        <v>29.4</v>
      </c>
      <c r="G739" s="5" t="s">
        <v>20</v>
      </c>
      <c r="H739" s="6">
        <v>712</v>
      </c>
      <c r="I739" s="14">
        <f t="shared" si="110"/>
        <v>10260.8264517243</v>
      </c>
      <c r="J739" s="15">
        <f t="shared" si="111"/>
        <v>1110.11820662074</v>
      </c>
      <c r="K739" s="15">
        <f t="shared" si="112"/>
        <v>9150.70824510359</v>
      </c>
      <c r="L739" s="15">
        <f t="shared" si="113"/>
        <v>0.108189940824326</v>
      </c>
      <c r="M739" s="15">
        <f t="shared" si="114"/>
        <v>0.121315003919477</v>
      </c>
      <c r="N739" s="16">
        <f t="shared" si="115"/>
        <v>35.9433962264151</v>
      </c>
      <c r="O739" s="16">
        <f t="shared" si="116"/>
        <v>466249.646780709</v>
      </c>
      <c r="P739" s="16">
        <f t="shared" si="117"/>
        <v>269030.822406046</v>
      </c>
      <c r="Q739" s="16">
        <f t="shared" si="118"/>
        <v>14.2857142857143</v>
      </c>
      <c r="R739" s="16">
        <f t="shared" si="119"/>
        <v>1.73307148456396</v>
      </c>
      <c r="S739" s="16">
        <v>31.9860017497813</v>
      </c>
    </row>
    <row r="740" spans="1:19">
      <c r="A740" s="5">
        <v>-2</v>
      </c>
      <c r="B740" s="6">
        <v>114.3</v>
      </c>
      <c r="C740" s="6">
        <v>3.18</v>
      </c>
      <c r="D740" s="6">
        <v>914</v>
      </c>
      <c r="E740" s="6">
        <v>420</v>
      </c>
      <c r="F740" s="6">
        <v>29.4</v>
      </c>
      <c r="G740" s="5" t="s">
        <v>20</v>
      </c>
      <c r="H740" s="6">
        <v>756</v>
      </c>
      <c r="I740" s="14">
        <f t="shared" si="110"/>
        <v>10260.8264517243</v>
      </c>
      <c r="J740" s="15">
        <f t="shared" si="111"/>
        <v>1110.11820662074</v>
      </c>
      <c r="K740" s="15">
        <f t="shared" si="112"/>
        <v>9150.70824510359</v>
      </c>
      <c r="L740" s="15">
        <f t="shared" si="113"/>
        <v>0.108189940824326</v>
      </c>
      <c r="M740" s="15">
        <f t="shared" si="114"/>
        <v>0.121315003919477</v>
      </c>
      <c r="N740" s="16">
        <f t="shared" si="115"/>
        <v>35.9433962264151</v>
      </c>
      <c r="O740" s="16">
        <f t="shared" si="116"/>
        <v>466249.646780709</v>
      </c>
      <c r="P740" s="16">
        <f t="shared" si="117"/>
        <v>269030.822406046</v>
      </c>
      <c r="Q740" s="16">
        <f t="shared" si="118"/>
        <v>14.2857142857143</v>
      </c>
      <c r="R740" s="16">
        <f t="shared" si="119"/>
        <v>1.73307148456396</v>
      </c>
      <c r="S740" s="16">
        <v>31.9860017497813</v>
      </c>
    </row>
    <row r="741" spans="1:19">
      <c r="A741" s="5">
        <v>-3</v>
      </c>
      <c r="B741" s="6">
        <v>127</v>
      </c>
      <c r="C741" s="6">
        <v>2.41</v>
      </c>
      <c r="D741" s="6">
        <v>914</v>
      </c>
      <c r="E741" s="6">
        <v>294</v>
      </c>
      <c r="F741" s="6">
        <v>35.6</v>
      </c>
      <c r="G741" s="5" t="s">
        <v>20</v>
      </c>
      <c r="H741" s="6">
        <v>627</v>
      </c>
      <c r="I741" s="14">
        <f t="shared" si="110"/>
        <v>12667.6869774374</v>
      </c>
      <c r="J741" s="15">
        <f t="shared" si="111"/>
        <v>943.300579192912</v>
      </c>
      <c r="K741" s="15">
        <f t="shared" si="112"/>
        <v>11724.3863982445</v>
      </c>
      <c r="L741" s="15">
        <f t="shared" si="113"/>
        <v>0.0744651001302001</v>
      </c>
      <c r="M741" s="15">
        <f t="shared" si="114"/>
        <v>0.0804562854849402</v>
      </c>
      <c r="N741" s="16">
        <f t="shared" si="115"/>
        <v>52.6970954356846</v>
      </c>
      <c r="O741" s="16">
        <f t="shared" si="116"/>
        <v>277330.370282716</v>
      </c>
      <c r="P741" s="16">
        <f t="shared" si="117"/>
        <v>417388.155777505</v>
      </c>
      <c r="Q741" s="16">
        <f t="shared" si="118"/>
        <v>8.25842696629213</v>
      </c>
      <c r="R741" s="16">
        <f t="shared" si="119"/>
        <v>0.664442357656528</v>
      </c>
      <c r="S741" s="16">
        <v>28.7874015748031</v>
      </c>
    </row>
    <row r="742" spans="1:19">
      <c r="A742" s="5">
        <v>-4</v>
      </c>
      <c r="B742" s="6">
        <v>127</v>
      </c>
      <c r="C742" s="6">
        <v>2.41</v>
      </c>
      <c r="D742" s="6">
        <v>914</v>
      </c>
      <c r="E742" s="6">
        <v>294</v>
      </c>
      <c r="F742" s="6">
        <v>35.6</v>
      </c>
      <c r="G742" s="5" t="s">
        <v>20</v>
      </c>
      <c r="H742" s="6">
        <v>623</v>
      </c>
      <c r="I742" s="14">
        <f t="shared" si="110"/>
        <v>12667.6869774374</v>
      </c>
      <c r="J742" s="15">
        <f t="shared" si="111"/>
        <v>943.300579192912</v>
      </c>
      <c r="K742" s="15">
        <f t="shared" si="112"/>
        <v>11724.3863982445</v>
      </c>
      <c r="L742" s="15">
        <f t="shared" si="113"/>
        <v>0.0744651001302001</v>
      </c>
      <c r="M742" s="15">
        <f t="shared" si="114"/>
        <v>0.0804562854849402</v>
      </c>
      <c r="N742" s="16">
        <f t="shared" si="115"/>
        <v>52.6970954356846</v>
      </c>
      <c r="O742" s="16">
        <f t="shared" si="116"/>
        <v>277330.370282716</v>
      </c>
      <c r="P742" s="16">
        <f t="shared" si="117"/>
        <v>417388.155777505</v>
      </c>
      <c r="Q742" s="16">
        <f t="shared" si="118"/>
        <v>8.25842696629213</v>
      </c>
      <c r="R742" s="16">
        <f t="shared" si="119"/>
        <v>0.664442357656528</v>
      </c>
      <c r="S742" s="16">
        <v>28.7874015748031</v>
      </c>
    </row>
    <row r="743" spans="1:19">
      <c r="A743" s="5">
        <v>-5</v>
      </c>
      <c r="B743" s="6">
        <v>127</v>
      </c>
      <c r="C743" s="6">
        <v>2.41</v>
      </c>
      <c r="D743" s="6">
        <v>914</v>
      </c>
      <c r="E743" s="6">
        <v>294</v>
      </c>
      <c r="F743" s="6">
        <v>35.6</v>
      </c>
      <c r="G743" s="5" t="s">
        <v>20</v>
      </c>
      <c r="H743" s="6">
        <v>658</v>
      </c>
      <c r="I743" s="14">
        <f t="shared" si="110"/>
        <v>12667.6869774374</v>
      </c>
      <c r="J743" s="15">
        <f t="shared" si="111"/>
        <v>943.300579192912</v>
      </c>
      <c r="K743" s="15">
        <f t="shared" si="112"/>
        <v>11724.3863982445</v>
      </c>
      <c r="L743" s="15">
        <f t="shared" si="113"/>
        <v>0.0744651001302001</v>
      </c>
      <c r="M743" s="15">
        <f t="shared" si="114"/>
        <v>0.0804562854849402</v>
      </c>
      <c r="N743" s="16">
        <f t="shared" si="115"/>
        <v>52.6970954356846</v>
      </c>
      <c r="O743" s="16">
        <f t="shared" si="116"/>
        <v>277330.370282716</v>
      </c>
      <c r="P743" s="16">
        <f t="shared" si="117"/>
        <v>417388.155777505</v>
      </c>
      <c r="Q743" s="16">
        <f t="shared" si="118"/>
        <v>8.25842696629213</v>
      </c>
      <c r="R743" s="16">
        <f t="shared" si="119"/>
        <v>0.664442357656528</v>
      </c>
      <c r="S743" s="16">
        <v>28.7874015748031</v>
      </c>
    </row>
    <row r="744" spans="1:19">
      <c r="A744" s="5">
        <v>-6</v>
      </c>
      <c r="B744" s="6">
        <v>152.4</v>
      </c>
      <c r="C744" s="6">
        <v>1.55</v>
      </c>
      <c r="D744" s="6">
        <v>914</v>
      </c>
      <c r="E744" s="6">
        <v>336</v>
      </c>
      <c r="F744" s="6">
        <v>21.4</v>
      </c>
      <c r="G744" s="5" t="s">
        <v>20</v>
      </c>
      <c r="H744" s="6">
        <v>682</v>
      </c>
      <c r="I744" s="14">
        <f t="shared" si="110"/>
        <v>18241.4692475099</v>
      </c>
      <c r="J744" s="15">
        <f t="shared" si="111"/>
        <v>734.559340280732</v>
      </c>
      <c r="K744" s="15">
        <f t="shared" si="112"/>
        <v>17506.9099072292</v>
      </c>
      <c r="L744" s="15">
        <f t="shared" si="113"/>
        <v>0.0402686499817444</v>
      </c>
      <c r="M744" s="15">
        <f t="shared" si="114"/>
        <v>0.0419582521514781</v>
      </c>
      <c r="N744" s="16">
        <f t="shared" si="115"/>
        <v>98.3225806451613</v>
      </c>
      <c r="O744" s="16">
        <f t="shared" si="116"/>
        <v>246811.938334326</v>
      </c>
      <c r="P744" s="16">
        <f t="shared" si="117"/>
        <v>374647.872014705</v>
      </c>
      <c r="Q744" s="16">
        <f t="shared" si="118"/>
        <v>15.7009345794393</v>
      </c>
      <c r="R744" s="16">
        <f t="shared" si="119"/>
        <v>0.658783772097974</v>
      </c>
      <c r="S744" s="16">
        <v>23.989501312336</v>
      </c>
    </row>
    <row r="745" spans="1:19">
      <c r="A745" s="5">
        <v>-7</v>
      </c>
      <c r="B745" s="6">
        <v>152.4</v>
      </c>
      <c r="C745" s="6">
        <v>1.55</v>
      </c>
      <c r="D745" s="6">
        <v>914</v>
      </c>
      <c r="E745" s="6">
        <v>336</v>
      </c>
      <c r="F745" s="6">
        <v>26.3</v>
      </c>
      <c r="G745" s="5" t="s">
        <v>20</v>
      </c>
      <c r="H745" s="6">
        <v>721</v>
      </c>
      <c r="I745" s="14">
        <f t="shared" si="110"/>
        <v>18241.4692475099</v>
      </c>
      <c r="J745" s="15">
        <f t="shared" si="111"/>
        <v>734.559340280732</v>
      </c>
      <c r="K745" s="15">
        <f t="shared" si="112"/>
        <v>17506.9099072292</v>
      </c>
      <c r="L745" s="15">
        <f t="shared" si="113"/>
        <v>0.0402686499817444</v>
      </c>
      <c r="M745" s="15">
        <f t="shared" si="114"/>
        <v>0.0419582521514781</v>
      </c>
      <c r="N745" s="16">
        <f t="shared" si="115"/>
        <v>98.3225806451613</v>
      </c>
      <c r="O745" s="16">
        <f t="shared" si="116"/>
        <v>246811.938334326</v>
      </c>
      <c r="P745" s="16">
        <f t="shared" si="117"/>
        <v>460431.730560128</v>
      </c>
      <c r="Q745" s="16">
        <f t="shared" si="118"/>
        <v>12.7756653992395</v>
      </c>
      <c r="R745" s="16">
        <f t="shared" si="119"/>
        <v>0.536044590224206</v>
      </c>
      <c r="S745" s="16">
        <v>23.989501312336</v>
      </c>
    </row>
    <row r="746" spans="1:19">
      <c r="A746" s="5">
        <v>-8</v>
      </c>
      <c r="B746" s="6">
        <v>152.4</v>
      </c>
      <c r="C746" s="6">
        <v>1.55</v>
      </c>
      <c r="D746" s="6">
        <v>914</v>
      </c>
      <c r="E746" s="6">
        <v>336</v>
      </c>
      <c r="F746" s="6">
        <v>26.3</v>
      </c>
      <c r="G746" s="5" t="s">
        <v>20</v>
      </c>
      <c r="H746" s="6">
        <v>733</v>
      </c>
      <c r="I746" s="14">
        <f t="shared" si="110"/>
        <v>18241.4692475099</v>
      </c>
      <c r="J746" s="15">
        <f t="shared" si="111"/>
        <v>734.559340280732</v>
      </c>
      <c r="K746" s="15">
        <f t="shared" si="112"/>
        <v>17506.9099072292</v>
      </c>
      <c r="L746" s="15">
        <f t="shared" si="113"/>
        <v>0.0402686499817444</v>
      </c>
      <c r="M746" s="15">
        <f t="shared" si="114"/>
        <v>0.0419582521514781</v>
      </c>
      <c r="N746" s="16">
        <f t="shared" si="115"/>
        <v>98.3225806451613</v>
      </c>
      <c r="O746" s="16">
        <f t="shared" si="116"/>
        <v>246811.938334326</v>
      </c>
      <c r="P746" s="16">
        <f t="shared" si="117"/>
        <v>460431.730560128</v>
      </c>
      <c r="Q746" s="16">
        <f t="shared" si="118"/>
        <v>12.7756653992395</v>
      </c>
      <c r="R746" s="16">
        <f t="shared" si="119"/>
        <v>0.536044590224206</v>
      </c>
      <c r="S746" s="16">
        <v>23.989501312336</v>
      </c>
    </row>
    <row r="747" spans="1:19">
      <c r="A747" s="5" t="s">
        <v>575</v>
      </c>
      <c r="B747" s="6">
        <v>355.6</v>
      </c>
      <c r="C747" s="6">
        <v>11.18</v>
      </c>
      <c r="D747" s="6">
        <v>1880</v>
      </c>
      <c r="E747" s="6">
        <v>361</v>
      </c>
      <c r="F747" s="6">
        <v>38.6</v>
      </c>
      <c r="G747" s="5" t="s">
        <v>20</v>
      </c>
      <c r="H747" s="6">
        <v>11460</v>
      </c>
      <c r="I747" s="14">
        <f t="shared" si="110"/>
        <v>99314.6659031096</v>
      </c>
      <c r="J747" s="15">
        <f t="shared" si="111"/>
        <v>12097.0656807583</v>
      </c>
      <c r="K747" s="15">
        <f t="shared" si="112"/>
        <v>87217.6002223513</v>
      </c>
      <c r="L747" s="15">
        <f t="shared" si="113"/>
        <v>0.121805430957801</v>
      </c>
      <c r="M747" s="15">
        <f t="shared" si="114"/>
        <v>0.138699822626605</v>
      </c>
      <c r="N747" s="16">
        <f t="shared" si="115"/>
        <v>31.8067978533095</v>
      </c>
      <c r="O747" s="16">
        <f t="shared" si="116"/>
        <v>4367040.71075373</v>
      </c>
      <c r="P747" s="16">
        <f t="shared" si="117"/>
        <v>3366599.36858276</v>
      </c>
      <c r="Q747" s="16">
        <f t="shared" si="118"/>
        <v>9.35233160621762</v>
      </c>
      <c r="R747" s="16">
        <f t="shared" si="119"/>
        <v>1.29716673492757</v>
      </c>
      <c r="S747" s="16">
        <v>21.1473565804274</v>
      </c>
    </row>
    <row r="748" spans="1:19">
      <c r="A748" s="5" t="s">
        <v>576</v>
      </c>
      <c r="B748" s="6">
        <v>355.6</v>
      </c>
      <c r="C748" s="6">
        <v>11.18</v>
      </c>
      <c r="D748" s="6">
        <v>1880</v>
      </c>
      <c r="E748" s="6">
        <v>361</v>
      </c>
      <c r="F748" s="6">
        <v>33.3</v>
      </c>
      <c r="G748" s="5" t="s">
        <v>20</v>
      </c>
      <c r="H748" s="6">
        <v>10710</v>
      </c>
      <c r="I748" s="14">
        <f t="shared" si="110"/>
        <v>99314.6659031096</v>
      </c>
      <c r="J748" s="15">
        <f t="shared" si="111"/>
        <v>12097.0656807583</v>
      </c>
      <c r="K748" s="15">
        <f t="shared" si="112"/>
        <v>87217.6002223513</v>
      </c>
      <c r="L748" s="15">
        <f t="shared" si="113"/>
        <v>0.121805430957801</v>
      </c>
      <c r="M748" s="15">
        <f t="shared" si="114"/>
        <v>0.138699822626605</v>
      </c>
      <c r="N748" s="16">
        <f t="shared" si="115"/>
        <v>31.8067978533095</v>
      </c>
      <c r="O748" s="16">
        <f t="shared" si="116"/>
        <v>4367040.71075373</v>
      </c>
      <c r="P748" s="16">
        <f t="shared" si="117"/>
        <v>2904346.0874043</v>
      </c>
      <c r="Q748" s="16">
        <f t="shared" si="118"/>
        <v>10.8408408408408</v>
      </c>
      <c r="R748" s="16">
        <f t="shared" si="119"/>
        <v>1.50362270174788</v>
      </c>
      <c r="S748" s="16">
        <v>21.1473565804274</v>
      </c>
    </row>
    <row r="749" spans="1:19">
      <c r="A749" s="5" t="s">
        <v>577</v>
      </c>
      <c r="B749" s="6">
        <v>355.6</v>
      </c>
      <c r="C749" s="6">
        <v>4.72</v>
      </c>
      <c r="D749" s="6">
        <v>1880</v>
      </c>
      <c r="E749" s="6">
        <v>281</v>
      </c>
      <c r="F749" s="6">
        <v>21.3</v>
      </c>
      <c r="G749" s="5" t="s">
        <v>20</v>
      </c>
      <c r="H749" s="6">
        <v>3517</v>
      </c>
      <c r="I749" s="14">
        <f t="shared" si="110"/>
        <v>99314.6659031096</v>
      </c>
      <c r="J749" s="15">
        <f t="shared" si="111"/>
        <v>5202.95998297628</v>
      </c>
      <c r="K749" s="15">
        <f t="shared" si="112"/>
        <v>94111.7059201333</v>
      </c>
      <c r="L749" s="15">
        <f t="shared" si="113"/>
        <v>0.0523886370221719</v>
      </c>
      <c r="M749" s="15">
        <f t="shared" si="114"/>
        <v>0.0552849396587467</v>
      </c>
      <c r="N749" s="16">
        <f t="shared" si="115"/>
        <v>75.3389830508475</v>
      </c>
      <c r="O749" s="16">
        <f t="shared" si="116"/>
        <v>1462031.75521634</v>
      </c>
      <c r="P749" s="16">
        <f t="shared" si="117"/>
        <v>2004579.33609884</v>
      </c>
      <c r="Q749" s="16">
        <f t="shared" si="118"/>
        <v>13.1924882629108</v>
      </c>
      <c r="R749" s="16">
        <f t="shared" si="119"/>
        <v>0.729345917563747</v>
      </c>
      <c r="S749" s="16">
        <v>21.1473565804274</v>
      </c>
    </row>
    <row r="750" spans="1:19">
      <c r="A750" s="5" t="s">
        <v>578</v>
      </c>
      <c r="B750" s="6">
        <v>355.6</v>
      </c>
      <c r="C750" s="6">
        <v>7.98</v>
      </c>
      <c r="D750" s="6">
        <v>2083</v>
      </c>
      <c r="E750" s="6">
        <v>361</v>
      </c>
      <c r="F750" s="6">
        <v>23.8</v>
      </c>
      <c r="G750" s="5" t="s">
        <v>20</v>
      </c>
      <c r="H750" s="6">
        <v>7433</v>
      </c>
      <c r="I750" s="14">
        <f t="shared" si="110"/>
        <v>99314.6659031096</v>
      </c>
      <c r="J750" s="15">
        <f t="shared" si="111"/>
        <v>8714.80189716224</v>
      </c>
      <c r="K750" s="15">
        <f t="shared" si="112"/>
        <v>90599.8640059473</v>
      </c>
      <c r="L750" s="15">
        <f t="shared" si="113"/>
        <v>0.0877493954987909</v>
      </c>
      <c r="M750" s="15">
        <f t="shared" si="114"/>
        <v>0.0961900107994662</v>
      </c>
      <c r="N750" s="16">
        <f t="shared" si="115"/>
        <v>44.5614035087719</v>
      </c>
      <c r="O750" s="16">
        <f t="shared" si="116"/>
        <v>3146043.48487557</v>
      </c>
      <c r="P750" s="16">
        <f t="shared" si="117"/>
        <v>2156276.76334155</v>
      </c>
      <c r="Q750" s="16">
        <f t="shared" si="118"/>
        <v>15.1680672268908</v>
      </c>
      <c r="R750" s="16">
        <f t="shared" si="119"/>
        <v>1.45901655036165</v>
      </c>
      <c r="S750" s="16">
        <v>23.4308211473566</v>
      </c>
    </row>
    <row r="751" spans="1:19">
      <c r="A751" s="5" t="s">
        <v>579</v>
      </c>
      <c r="B751" s="6">
        <v>127.3</v>
      </c>
      <c r="C751" s="6">
        <v>1.63</v>
      </c>
      <c r="D751" s="6">
        <v>711</v>
      </c>
      <c r="E751" s="6">
        <v>376</v>
      </c>
      <c r="F751" s="6">
        <v>67.2</v>
      </c>
      <c r="G751" s="5" t="s">
        <v>20</v>
      </c>
      <c r="H751" s="6">
        <v>1285</v>
      </c>
      <c r="I751" s="14">
        <f t="shared" si="110"/>
        <v>12727.605003323</v>
      </c>
      <c r="J751" s="15">
        <f t="shared" si="111"/>
        <v>643.530436505907</v>
      </c>
      <c r="K751" s="15">
        <f t="shared" si="112"/>
        <v>12084.0745668171</v>
      </c>
      <c r="L751" s="15">
        <f t="shared" si="113"/>
        <v>0.0505617856885006</v>
      </c>
      <c r="M751" s="15">
        <f t="shared" si="114"/>
        <v>0.0532544244863435</v>
      </c>
      <c r="N751" s="16">
        <f t="shared" si="115"/>
        <v>78.0981595092025</v>
      </c>
      <c r="O751" s="16">
        <f t="shared" si="116"/>
        <v>241967.444126221</v>
      </c>
      <c r="P751" s="16">
        <f t="shared" si="117"/>
        <v>812049.810890111</v>
      </c>
      <c r="Q751" s="16">
        <f t="shared" si="118"/>
        <v>5.59523809523809</v>
      </c>
      <c r="R751" s="16">
        <f t="shared" si="119"/>
        <v>0.29797118462597</v>
      </c>
      <c r="S751" s="16">
        <v>22.3409269442262</v>
      </c>
    </row>
    <row r="752" spans="1:19">
      <c r="A752" s="5" t="s">
        <v>580</v>
      </c>
      <c r="B752" s="6">
        <v>127.3</v>
      </c>
      <c r="C752" s="6">
        <v>1.63</v>
      </c>
      <c r="D752" s="6">
        <v>711</v>
      </c>
      <c r="E752" s="6">
        <v>334</v>
      </c>
      <c r="F752" s="6">
        <v>67.2</v>
      </c>
      <c r="G752" s="5" t="s">
        <v>20</v>
      </c>
      <c r="H752" s="6">
        <v>1285</v>
      </c>
      <c r="I752" s="14">
        <f t="shared" si="110"/>
        <v>12727.605003323</v>
      </c>
      <c r="J752" s="15">
        <f t="shared" si="111"/>
        <v>643.530436505907</v>
      </c>
      <c r="K752" s="15">
        <f t="shared" si="112"/>
        <v>12084.0745668171</v>
      </c>
      <c r="L752" s="15">
        <f t="shared" si="113"/>
        <v>0.0505617856885006</v>
      </c>
      <c r="M752" s="15">
        <f t="shared" si="114"/>
        <v>0.0532544244863435</v>
      </c>
      <c r="N752" s="16">
        <f t="shared" si="115"/>
        <v>78.0981595092025</v>
      </c>
      <c r="O752" s="16">
        <f t="shared" si="116"/>
        <v>214939.165792973</v>
      </c>
      <c r="P752" s="16">
        <f t="shared" si="117"/>
        <v>812049.810890111</v>
      </c>
      <c r="Q752" s="16">
        <f t="shared" si="118"/>
        <v>4.97023809523809</v>
      </c>
      <c r="R752" s="16">
        <f t="shared" si="119"/>
        <v>0.264687169322005</v>
      </c>
      <c r="S752" s="16">
        <v>22.3409269442262</v>
      </c>
    </row>
    <row r="753" spans="1:19">
      <c r="A753" s="5" t="s">
        <v>581</v>
      </c>
      <c r="B753" s="6">
        <v>127.1</v>
      </c>
      <c r="C753" s="6">
        <v>2.95</v>
      </c>
      <c r="D753" s="6">
        <v>711</v>
      </c>
      <c r="E753" s="6">
        <v>376</v>
      </c>
      <c r="F753" s="6">
        <v>67.2</v>
      </c>
      <c r="G753" s="5" t="s">
        <v>20</v>
      </c>
      <c r="H753" s="6">
        <v>1305</v>
      </c>
      <c r="I753" s="14">
        <f t="shared" si="110"/>
        <v>12687.6439447694</v>
      </c>
      <c r="J753" s="15">
        <f t="shared" si="111"/>
        <v>1150.58474743236</v>
      </c>
      <c r="K753" s="15">
        <f t="shared" si="112"/>
        <v>11537.059197337</v>
      </c>
      <c r="L753" s="15">
        <f t="shared" si="113"/>
        <v>0.0906854536934497</v>
      </c>
      <c r="M753" s="15">
        <f t="shared" si="114"/>
        <v>0.0997294655208096</v>
      </c>
      <c r="N753" s="16">
        <f t="shared" si="115"/>
        <v>43.0847457627119</v>
      </c>
      <c r="O753" s="16">
        <f t="shared" si="116"/>
        <v>432619.865034568</v>
      </c>
      <c r="P753" s="16">
        <f t="shared" si="117"/>
        <v>775290.378061047</v>
      </c>
      <c r="Q753" s="16">
        <f t="shared" si="118"/>
        <v>5.59523809523809</v>
      </c>
      <c r="R753" s="16">
        <f t="shared" si="119"/>
        <v>0.558010104699768</v>
      </c>
      <c r="S753" s="16">
        <v>22.3760818253344</v>
      </c>
    </row>
    <row r="754" spans="1:19">
      <c r="A754" s="5" t="s">
        <v>582</v>
      </c>
      <c r="B754" s="6">
        <v>127.1</v>
      </c>
      <c r="C754" s="6">
        <v>2.95</v>
      </c>
      <c r="D754" s="6">
        <v>711</v>
      </c>
      <c r="E754" s="6">
        <v>334</v>
      </c>
      <c r="F754" s="6">
        <v>67.2</v>
      </c>
      <c r="G754" s="5" t="s">
        <v>20</v>
      </c>
      <c r="H754" s="6">
        <v>1305</v>
      </c>
      <c r="I754" s="14">
        <f t="shared" si="110"/>
        <v>12687.6439447694</v>
      </c>
      <c r="J754" s="15">
        <f t="shared" si="111"/>
        <v>1150.58474743236</v>
      </c>
      <c r="K754" s="15">
        <f t="shared" si="112"/>
        <v>11537.059197337</v>
      </c>
      <c r="L754" s="15">
        <f t="shared" si="113"/>
        <v>0.0906854536934497</v>
      </c>
      <c r="M754" s="15">
        <f t="shared" si="114"/>
        <v>0.0997294655208096</v>
      </c>
      <c r="N754" s="16">
        <f t="shared" si="115"/>
        <v>43.0847457627119</v>
      </c>
      <c r="O754" s="16">
        <f t="shared" si="116"/>
        <v>384295.305642408</v>
      </c>
      <c r="P754" s="16">
        <f t="shared" si="117"/>
        <v>775290.378061047</v>
      </c>
      <c r="Q754" s="16">
        <f t="shared" si="118"/>
        <v>4.97023809523809</v>
      </c>
      <c r="R754" s="16">
        <f t="shared" si="119"/>
        <v>0.495679188749262</v>
      </c>
      <c r="S754" s="16">
        <v>22.3760818253344</v>
      </c>
    </row>
    <row r="755" spans="1:19">
      <c r="A755" s="5" t="s">
        <v>583</v>
      </c>
      <c r="B755" s="6">
        <v>168.2</v>
      </c>
      <c r="C755" s="6">
        <v>4.52</v>
      </c>
      <c r="D755" s="6">
        <v>813</v>
      </c>
      <c r="E755" s="6">
        <v>302</v>
      </c>
      <c r="F755" s="6">
        <v>31.9</v>
      </c>
      <c r="G755" s="5" t="s">
        <v>20</v>
      </c>
      <c r="H755" s="6">
        <v>2006</v>
      </c>
      <c r="I755" s="14">
        <f t="shared" si="110"/>
        <v>22219.8879362364</v>
      </c>
      <c r="J755" s="15">
        <f t="shared" si="111"/>
        <v>2324.25580263889</v>
      </c>
      <c r="K755" s="15">
        <f t="shared" si="112"/>
        <v>19895.6321335975</v>
      </c>
      <c r="L755" s="15">
        <f t="shared" si="113"/>
        <v>0.104602498865373</v>
      </c>
      <c r="M755" s="15">
        <f t="shared" si="114"/>
        <v>0.11682241544434</v>
      </c>
      <c r="N755" s="16">
        <f t="shared" si="115"/>
        <v>37.212389380531</v>
      </c>
      <c r="O755" s="16">
        <f t="shared" si="116"/>
        <v>701925.252396945</v>
      </c>
      <c r="P755" s="16">
        <f t="shared" si="117"/>
        <v>634670.665061761</v>
      </c>
      <c r="Q755" s="16">
        <f t="shared" si="118"/>
        <v>9.46708463949843</v>
      </c>
      <c r="R755" s="16">
        <f t="shared" si="119"/>
        <v>1.10596769480221</v>
      </c>
      <c r="S755" s="16">
        <v>19.3341260404281</v>
      </c>
    </row>
    <row r="756" spans="1:19">
      <c r="A756" s="5" t="s">
        <v>584</v>
      </c>
      <c r="B756" s="6">
        <v>168.4</v>
      </c>
      <c r="C756" s="6">
        <v>4.52</v>
      </c>
      <c r="D756" s="6">
        <v>813</v>
      </c>
      <c r="E756" s="6">
        <v>302</v>
      </c>
      <c r="F756" s="6">
        <v>43.8</v>
      </c>
      <c r="G756" s="5" t="s">
        <v>20</v>
      </c>
      <c r="H756" s="6">
        <v>2233</v>
      </c>
      <c r="I756" s="14">
        <f t="shared" si="110"/>
        <v>22272.7609405963</v>
      </c>
      <c r="J756" s="15">
        <f t="shared" si="111"/>
        <v>2327.09580239773</v>
      </c>
      <c r="K756" s="15">
        <f t="shared" si="112"/>
        <v>19945.6651381986</v>
      </c>
      <c r="L756" s="15">
        <f t="shared" si="113"/>
        <v>0.104481694416077</v>
      </c>
      <c r="M756" s="15">
        <f t="shared" si="114"/>
        <v>0.116671757310366</v>
      </c>
      <c r="N756" s="16">
        <f t="shared" si="115"/>
        <v>37.2566371681416</v>
      </c>
      <c r="O756" s="16">
        <f t="shared" si="116"/>
        <v>702782.932324115</v>
      </c>
      <c r="P756" s="16">
        <f t="shared" si="117"/>
        <v>873620.133053099</v>
      </c>
      <c r="Q756" s="16">
        <f t="shared" si="118"/>
        <v>6.89497716894977</v>
      </c>
      <c r="R756" s="16">
        <f t="shared" si="119"/>
        <v>0.804449102916221</v>
      </c>
      <c r="S756" s="16">
        <v>19.3111638954869</v>
      </c>
    </row>
    <row r="757" spans="1:19">
      <c r="A757" s="5" t="s">
        <v>585</v>
      </c>
      <c r="B757" s="6">
        <v>168.2</v>
      </c>
      <c r="C757" s="6">
        <v>4.52</v>
      </c>
      <c r="D757" s="6">
        <v>813</v>
      </c>
      <c r="E757" s="6">
        <v>302</v>
      </c>
      <c r="F757" s="6">
        <v>43.8</v>
      </c>
      <c r="G757" s="5" t="s">
        <v>20</v>
      </c>
      <c r="H757" s="6">
        <v>2113</v>
      </c>
      <c r="I757" s="14">
        <f t="shared" si="110"/>
        <v>22219.8879362364</v>
      </c>
      <c r="J757" s="15">
        <f t="shared" si="111"/>
        <v>2324.25580263889</v>
      </c>
      <c r="K757" s="15">
        <f t="shared" si="112"/>
        <v>19895.6321335975</v>
      </c>
      <c r="L757" s="15">
        <f t="shared" si="113"/>
        <v>0.104602498865373</v>
      </c>
      <c r="M757" s="15">
        <f t="shared" si="114"/>
        <v>0.11682241544434</v>
      </c>
      <c r="N757" s="16">
        <f t="shared" si="115"/>
        <v>37.212389380531</v>
      </c>
      <c r="O757" s="16">
        <f t="shared" si="116"/>
        <v>701925.252396945</v>
      </c>
      <c r="P757" s="16">
        <f t="shared" si="117"/>
        <v>871428.687451572</v>
      </c>
      <c r="Q757" s="16">
        <f t="shared" si="118"/>
        <v>6.89497716894977</v>
      </c>
      <c r="R757" s="16">
        <f t="shared" si="119"/>
        <v>0.805487887310289</v>
      </c>
      <c r="S757" s="16">
        <v>19.3341260404281</v>
      </c>
    </row>
    <row r="758" spans="1:19">
      <c r="A758" s="5" t="s">
        <v>586</v>
      </c>
      <c r="B758" s="6">
        <v>88.9</v>
      </c>
      <c r="C758" s="6">
        <v>5.842</v>
      </c>
      <c r="D758" s="6">
        <v>1727</v>
      </c>
      <c r="E758" s="6">
        <v>406</v>
      </c>
      <c r="F758" s="6">
        <v>41.5</v>
      </c>
      <c r="G758" s="5" t="s">
        <v>20</v>
      </c>
      <c r="H758" s="6">
        <v>614.7</v>
      </c>
      <c r="I758" s="14">
        <f t="shared" si="110"/>
        <v>6207.16661894435</v>
      </c>
      <c r="J758" s="15">
        <f t="shared" si="111"/>
        <v>1524.37878011691</v>
      </c>
      <c r="K758" s="15">
        <f t="shared" si="112"/>
        <v>4682.78783882744</v>
      </c>
      <c r="L758" s="15">
        <f t="shared" si="113"/>
        <v>0.245583673469388</v>
      </c>
      <c r="M758" s="15">
        <f t="shared" si="114"/>
        <v>0.325528047091413</v>
      </c>
      <c r="N758" s="16">
        <f t="shared" si="115"/>
        <v>15.2173913043478</v>
      </c>
      <c r="O758" s="16">
        <f t="shared" si="116"/>
        <v>618897.784727466</v>
      </c>
      <c r="P758" s="16">
        <f t="shared" si="117"/>
        <v>194335.695311339</v>
      </c>
      <c r="Q758" s="16">
        <f t="shared" si="118"/>
        <v>9.78313253012048</v>
      </c>
      <c r="R758" s="16">
        <f t="shared" si="119"/>
        <v>3.18468402696659</v>
      </c>
      <c r="S758" s="16">
        <v>77.7052868391451</v>
      </c>
    </row>
    <row r="759" spans="1:19">
      <c r="A759" s="5" t="s">
        <v>587</v>
      </c>
      <c r="B759" s="6">
        <v>88.9</v>
      </c>
      <c r="C759" s="6">
        <v>5.842</v>
      </c>
      <c r="D759" s="6">
        <v>1422</v>
      </c>
      <c r="E759" s="6">
        <v>406</v>
      </c>
      <c r="F759" s="6">
        <v>41.5</v>
      </c>
      <c r="G759" s="5" t="s">
        <v>20</v>
      </c>
      <c r="H759" s="6">
        <v>711.7</v>
      </c>
      <c r="I759" s="14">
        <f t="shared" si="110"/>
        <v>6207.16661894435</v>
      </c>
      <c r="J759" s="15">
        <f t="shared" si="111"/>
        <v>1524.37878011691</v>
      </c>
      <c r="K759" s="15">
        <f t="shared" si="112"/>
        <v>4682.78783882744</v>
      </c>
      <c r="L759" s="15">
        <f t="shared" si="113"/>
        <v>0.245583673469388</v>
      </c>
      <c r="M759" s="15">
        <f t="shared" si="114"/>
        <v>0.325528047091413</v>
      </c>
      <c r="N759" s="16">
        <f t="shared" si="115"/>
        <v>15.2173913043478</v>
      </c>
      <c r="O759" s="16">
        <f t="shared" si="116"/>
        <v>618897.784727466</v>
      </c>
      <c r="P759" s="16">
        <f t="shared" si="117"/>
        <v>194335.695311339</v>
      </c>
      <c r="Q759" s="16">
        <f t="shared" si="118"/>
        <v>9.78313253012048</v>
      </c>
      <c r="R759" s="16">
        <f t="shared" si="119"/>
        <v>3.18468402696659</v>
      </c>
      <c r="S759" s="16">
        <v>63.9820022497188</v>
      </c>
    </row>
    <row r="760" spans="1:19">
      <c r="A760" s="5" t="s">
        <v>588</v>
      </c>
      <c r="B760" s="6">
        <v>88.9</v>
      </c>
      <c r="C760" s="6">
        <v>5.842</v>
      </c>
      <c r="D760" s="6">
        <v>1118</v>
      </c>
      <c r="E760" s="6">
        <v>406</v>
      </c>
      <c r="F760" s="6">
        <v>41.5</v>
      </c>
      <c r="G760" s="5" t="s">
        <v>20</v>
      </c>
      <c r="H760" s="6">
        <v>715.2</v>
      </c>
      <c r="I760" s="14">
        <f t="shared" si="110"/>
        <v>6207.16661894435</v>
      </c>
      <c r="J760" s="15">
        <f t="shared" si="111"/>
        <v>1524.37878011691</v>
      </c>
      <c r="K760" s="15">
        <f t="shared" si="112"/>
        <v>4682.78783882744</v>
      </c>
      <c r="L760" s="15">
        <f t="shared" si="113"/>
        <v>0.245583673469388</v>
      </c>
      <c r="M760" s="15">
        <f t="shared" si="114"/>
        <v>0.325528047091413</v>
      </c>
      <c r="N760" s="16">
        <f t="shared" si="115"/>
        <v>15.2173913043478</v>
      </c>
      <c r="O760" s="16">
        <f t="shared" si="116"/>
        <v>618897.784727466</v>
      </c>
      <c r="P760" s="16">
        <f t="shared" si="117"/>
        <v>194335.695311339</v>
      </c>
      <c r="Q760" s="16">
        <f t="shared" si="118"/>
        <v>9.78313253012048</v>
      </c>
      <c r="R760" s="16">
        <f t="shared" si="119"/>
        <v>3.18468402696659</v>
      </c>
      <c r="S760" s="16">
        <v>50.3037120359955</v>
      </c>
    </row>
    <row r="761" spans="1:19">
      <c r="A761" s="5" t="s">
        <v>589</v>
      </c>
      <c r="B761" s="6">
        <v>88.9</v>
      </c>
      <c r="C761" s="6">
        <v>5.842</v>
      </c>
      <c r="D761" s="6">
        <v>813</v>
      </c>
      <c r="E761" s="6">
        <v>406</v>
      </c>
      <c r="F761" s="6">
        <v>41.5</v>
      </c>
      <c r="G761" s="5" t="s">
        <v>20</v>
      </c>
      <c r="H761" s="6">
        <v>918.5</v>
      </c>
      <c r="I761" s="14">
        <f t="shared" si="110"/>
        <v>6207.16661894435</v>
      </c>
      <c r="J761" s="15">
        <f t="shared" si="111"/>
        <v>1524.37878011691</v>
      </c>
      <c r="K761" s="15">
        <f t="shared" si="112"/>
        <v>4682.78783882744</v>
      </c>
      <c r="L761" s="15">
        <f t="shared" si="113"/>
        <v>0.245583673469388</v>
      </c>
      <c r="M761" s="15">
        <f t="shared" si="114"/>
        <v>0.325528047091413</v>
      </c>
      <c r="N761" s="16">
        <f t="shared" si="115"/>
        <v>15.2173913043478</v>
      </c>
      <c r="O761" s="16">
        <f t="shared" si="116"/>
        <v>618897.784727466</v>
      </c>
      <c r="P761" s="16">
        <f t="shared" si="117"/>
        <v>194335.695311339</v>
      </c>
      <c r="Q761" s="16">
        <f t="shared" si="118"/>
        <v>9.78313253012048</v>
      </c>
      <c r="R761" s="16">
        <f t="shared" si="119"/>
        <v>3.18468402696659</v>
      </c>
      <c r="S761" s="16">
        <v>36.5804274465692</v>
      </c>
    </row>
    <row r="762" spans="1:19">
      <c r="A762" s="5" t="s">
        <v>590</v>
      </c>
      <c r="B762" s="6">
        <v>88.9</v>
      </c>
      <c r="C762" s="6">
        <v>5.842</v>
      </c>
      <c r="D762" s="6">
        <v>508</v>
      </c>
      <c r="E762" s="6">
        <v>406</v>
      </c>
      <c r="F762" s="6">
        <v>41.5</v>
      </c>
      <c r="G762" s="5" t="s">
        <v>20</v>
      </c>
      <c r="H762" s="6">
        <v>991.9</v>
      </c>
      <c r="I762" s="14">
        <f t="shared" si="110"/>
        <v>6207.16661894435</v>
      </c>
      <c r="J762" s="15">
        <f t="shared" si="111"/>
        <v>1524.37878011691</v>
      </c>
      <c r="K762" s="15">
        <f t="shared" si="112"/>
        <v>4682.78783882744</v>
      </c>
      <c r="L762" s="15">
        <f t="shared" si="113"/>
        <v>0.245583673469388</v>
      </c>
      <c r="M762" s="15">
        <f t="shared" si="114"/>
        <v>0.325528047091413</v>
      </c>
      <c r="N762" s="16">
        <f t="shared" si="115"/>
        <v>15.2173913043478</v>
      </c>
      <c r="O762" s="16">
        <f t="shared" si="116"/>
        <v>618897.784727466</v>
      </c>
      <c r="P762" s="16">
        <f t="shared" si="117"/>
        <v>194335.695311339</v>
      </c>
      <c r="Q762" s="16">
        <f t="shared" si="118"/>
        <v>9.78313253012048</v>
      </c>
      <c r="R762" s="16">
        <f t="shared" si="119"/>
        <v>3.18468402696659</v>
      </c>
      <c r="S762" s="16">
        <v>22.8571428571429</v>
      </c>
    </row>
    <row r="763" spans="1:19">
      <c r="A763" s="5" t="s">
        <v>591</v>
      </c>
      <c r="B763" s="6">
        <v>88.9</v>
      </c>
      <c r="C763" s="6">
        <v>5.842</v>
      </c>
      <c r="D763" s="6">
        <v>508</v>
      </c>
      <c r="E763" s="6">
        <v>406</v>
      </c>
      <c r="F763" s="6">
        <v>41.5</v>
      </c>
      <c r="G763" s="5" t="s">
        <v>20</v>
      </c>
      <c r="H763" s="6">
        <v>889.6</v>
      </c>
      <c r="I763" s="14">
        <f t="shared" si="110"/>
        <v>6207.16661894435</v>
      </c>
      <c r="J763" s="15">
        <f t="shared" si="111"/>
        <v>1524.37878011691</v>
      </c>
      <c r="K763" s="15">
        <f t="shared" si="112"/>
        <v>4682.78783882744</v>
      </c>
      <c r="L763" s="15">
        <f t="shared" si="113"/>
        <v>0.245583673469388</v>
      </c>
      <c r="M763" s="15">
        <f t="shared" si="114"/>
        <v>0.325528047091413</v>
      </c>
      <c r="N763" s="16">
        <f t="shared" si="115"/>
        <v>15.2173913043478</v>
      </c>
      <c r="O763" s="16">
        <f t="shared" si="116"/>
        <v>618897.784727466</v>
      </c>
      <c r="P763" s="16">
        <f t="shared" si="117"/>
        <v>194335.695311339</v>
      </c>
      <c r="Q763" s="16">
        <f t="shared" si="118"/>
        <v>9.78313253012048</v>
      </c>
      <c r="R763" s="16">
        <f t="shared" si="119"/>
        <v>3.18468402696659</v>
      </c>
      <c r="S763" s="16">
        <v>22.8571428571429</v>
      </c>
    </row>
    <row r="764" spans="1:19">
      <c r="A764" s="5" t="s">
        <v>592</v>
      </c>
      <c r="B764" s="6">
        <v>82.55</v>
      </c>
      <c r="C764" s="6">
        <v>1.397</v>
      </c>
      <c r="D764" s="6">
        <v>1727</v>
      </c>
      <c r="E764" s="6">
        <v>490</v>
      </c>
      <c r="F764" s="6">
        <v>41.5</v>
      </c>
      <c r="G764" s="5" t="s">
        <v>20</v>
      </c>
      <c r="H764" s="6">
        <v>224.6</v>
      </c>
      <c r="I764" s="14">
        <f t="shared" si="110"/>
        <v>5352.09774796732</v>
      </c>
      <c r="J764" s="15">
        <f t="shared" si="111"/>
        <v>356.164687057631</v>
      </c>
      <c r="K764" s="15">
        <f t="shared" si="112"/>
        <v>4995.93306090969</v>
      </c>
      <c r="L764" s="15">
        <f t="shared" si="113"/>
        <v>0.0665467455621302</v>
      </c>
      <c r="M764" s="15">
        <f t="shared" si="114"/>
        <v>0.0712909245811189</v>
      </c>
      <c r="N764" s="16">
        <f t="shared" si="115"/>
        <v>59.0909090909091</v>
      </c>
      <c r="O764" s="16">
        <f t="shared" si="116"/>
        <v>174520.696658239</v>
      </c>
      <c r="P764" s="16">
        <f t="shared" si="117"/>
        <v>207331.222027752</v>
      </c>
      <c r="Q764" s="16">
        <f t="shared" si="118"/>
        <v>11.8072289156626</v>
      </c>
      <c r="R764" s="16">
        <f t="shared" si="119"/>
        <v>0.841748266138512</v>
      </c>
      <c r="S764" s="16">
        <v>83.6826165960024</v>
      </c>
    </row>
    <row r="765" spans="1:19">
      <c r="A765" s="5" t="s">
        <v>593</v>
      </c>
      <c r="B765" s="6">
        <v>82.55</v>
      </c>
      <c r="C765" s="6">
        <v>1.397</v>
      </c>
      <c r="D765" s="6">
        <v>1422</v>
      </c>
      <c r="E765" s="6">
        <v>490</v>
      </c>
      <c r="F765" s="6">
        <v>41.5</v>
      </c>
      <c r="G765" s="5" t="s">
        <v>20</v>
      </c>
      <c r="H765" s="6">
        <v>294.5</v>
      </c>
      <c r="I765" s="14">
        <f t="shared" si="110"/>
        <v>5352.09774796732</v>
      </c>
      <c r="J765" s="15">
        <f t="shared" si="111"/>
        <v>356.164687057631</v>
      </c>
      <c r="K765" s="15">
        <f t="shared" si="112"/>
        <v>4995.93306090969</v>
      </c>
      <c r="L765" s="15">
        <f t="shared" si="113"/>
        <v>0.0665467455621302</v>
      </c>
      <c r="M765" s="15">
        <f t="shared" si="114"/>
        <v>0.0712909245811189</v>
      </c>
      <c r="N765" s="16">
        <f t="shared" si="115"/>
        <v>59.0909090909091</v>
      </c>
      <c r="O765" s="16">
        <f t="shared" si="116"/>
        <v>174520.696658239</v>
      </c>
      <c r="P765" s="16">
        <f t="shared" si="117"/>
        <v>207331.222027752</v>
      </c>
      <c r="Q765" s="16">
        <f t="shared" si="118"/>
        <v>11.8072289156626</v>
      </c>
      <c r="R765" s="16">
        <f t="shared" si="119"/>
        <v>0.841748266138512</v>
      </c>
      <c r="S765" s="16">
        <v>68.9036947304664</v>
      </c>
    </row>
    <row r="766" spans="1:19">
      <c r="A766" s="5" t="s">
        <v>594</v>
      </c>
      <c r="B766" s="6">
        <v>82.55</v>
      </c>
      <c r="C766" s="6">
        <v>1.397</v>
      </c>
      <c r="D766" s="6">
        <v>1118</v>
      </c>
      <c r="E766" s="6">
        <v>490</v>
      </c>
      <c r="F766" s="6">
        <v>41.5</v>
      </c>
      <c r="G766" s="5" t="s">
        <v>20</v>
      </c>
      <c r="H766" s="6">
        <v>355.8</v>
      </c>
      <c r="I766" s="14">
        <f t="shared" si="110"/>
        <v>5352.09774796732</v>
      </c>
      <c r="J766" s="15">
        <f t="shared" si="111"/>
        <v>356.164687057631</v>
      </c>
      <c r="K766" s="15">
        <f t="shared" si="112"/>
        <v>4995.93306090969</v>
      </c>
      <c r="L766" s="15">
        <f t="shared" si="113"/>
        <v>0.0665467455621302</v>
      </c>
      <c r="M766" s="15">
        <f t="shared" si="114"/>
        <v>0.0712909245811189</v>
      </c>
      <c r="N766" s="16">
        <f t="shared" si="115"/>
        <v>59.0909090909091</v>
      </c>
      <c r="O766" s="16">
        <f t="shared" si="116"/>
        <v>174520.696658239</v>
      </c>
      <c r="P766" s="16">
        <f t="shared" si="117"/>
        <v>207331.222027752</v>
      </c>
      <c r="Q766" s="16">
        <f t="shared" si="118"/>
        <v>11.8072289156626</v>
      </c>
      <c r="R766" s="16">
        <f t="shared" si="119"/>
        <v>0.841748266138512</v>
      </c>
      <c r="S766" s="16">
        <v>54.1732283464567</v>
      </c>
    </row>
    <row r="767" spans="1:19">
      <c r="A767" s="5" t="s">
        <v>595</v>
      </c>
      <c r="B767" s="6">
        <v>82.55</v>
      </c>
      <c r="C767" s="6">
        <v>1.397</v>
      </c>
      <c r="D767" s="6">
        <v>813</v>
      </c>
      <c r="E767" s="6">
        <v>490</v>
      </c>
      <c r="F767" s="6">
        <v>41.5</v>
      </c>
      <c r="G767" s="5" t="s">
        <v>20</v>
      </c>
      <c r="H767" s="6">
        <v>400.3</v>
      </c>
      <c r="I767" s="14">
        <f t="shared" si="110"/>
        <v>5352.09774796732</v>
      </c>
      <c r="J767" s="15">
        <f t="shared" si="111"/>
        <v>356.164687057631</v>
      </c>
      <c r="K767" s="15">
        <f t="shared" si="112"/>
        <v>4995.93306090969</v>
      </c>
      <c r="L767" s="15">
        <f t="shared" si="113"/>
        <v>0.0665467455621302</v>
      </c>
      <c r="M767" s="15">
        <f t="shared" si="114"/>
        <v>0.0712909245811189</v>
      </c>
      <c r="N767" s="16">
        <f t="shared" si="115"/>
        <v>59.0909090909091</v>
      </c>
      <c r="O767" s="16">
        <f t="shared" si="116"/>
        <v>174520.696658239</v>
      </c>
      <c r="P767" s="16">
        <f t="shared" si="117"/>
        <v>207331.222027752</v>
      </c>
      <c r="Q767" s="16">
        <f t="shared" si="118"/>
        <v>11.8072289156626</v>
      </c>
      <c r="R767" s="16">
        <f t="shared" si="119"/>
        <v>0.841748266138512</v>
      </c>
      <c r="S767" s="16">
        <v>39.3943064809207</v>
      </c>
    </row>
    <row r="768" spans="1:19">
      <c r="A768" s="5" t="s">
        <v>596</v>
      </c>
      <c r="B768" s="6">
        <v>82.55</v>
      </c>
      <c r="C768" s="6">
        <v>1.397</v>
      </c>
      <c r="D768" s="6">
        <v>508</v>
      </c>
      <c r="E768" s="6">
        <v>490</v>
      </c>
      <c r="F768" s="6">
        <v>41.5</v>
      </c>
      <c r="G768" s="5" t="s">
        <v>20</v>
      </c>
      <c r="H768" s="6">
        <v>489.3</v>
      </c>
      <c r="I768" s="14">
        <f t="shared" si="110"/>
        <v>5352.09774796732</v>
      </c>
      <c r="J768" s="15">
        <f t="shared" si="111"/>
        <v>356.164687057631</v>
      </c>
      <c r="K768" s="15">
        <f t="shared" si="112"/>
        <v>4995.93306090969</v>
      </c>
      <c r="L768" s="15">
        <f t="shared" si="113"/>
        <v>0.0665467455621302</v>
      </c>
      <c r="M768" s="15">
        <f t="shared" si="114"/>
        <v>0.0712909245811189</v>
      </c>
      <c r="N768" s="16">
        <f t="shared" si="115"/>
        <v>59.0909090909091</v>
      </c>
      <c r="O768" s="16">
        <f t="shared" si="116"/>
        <v>174520.696658239</v>
      </c>
      <c r="P768" s="16">
        <f t="shared" si="117"/>
        <v>207331.222027752</v>
      </c>
      <c r="Q768" s="16">
        <f t="shared" si="118"/>
        <v>11.8072289156626</v>
      </c>
      <c r="R768" s="16">
        <f t="shared" si="119"/>
        <v>0.841748266138512</v>
      </c>
      <c r="S768" s="16">
        <v>24.6153846153846</v>
      </c>
    </row>
    <row r="769" spans="1:19">
      <c r="A769" s="5" t="s">
        <v>597</v>
      </c>
      <c r="B769" s="6">
        <v>108</v>
      </c>
      <c r="C769" s="6">
        <v>4.5</v>
      </c>
      <c r="D769" s="6">
        <v>4158</v>
      </c>
      <c r="E769" s="6">
        <v>348.1</v>
      </c>
      <c r="F769" s="6">
        <v>25.4</v>
      </c>
      <c r="G769" s="5" t="s">
        <v>20</v>
      </c>
      <c r="H769" s="6">
        <v>342</v>
      </c>
      <c r="I769" s="14">
        <f t="shared" si="110"/>
        <v>9160.88417786784</v>
      </c>
      <c r="J769" s="15">
        <f t="shared" si="111"/>
        <v>1463.19677840945</v>
      </c>
      <c r="K769" s="15">
        <f t="shared" si="112"/>
        <v>7697.68739945839</v>
      </c>
      <c r="L769" s="15">
        <f t="shared" si="113"/>
        <v>0.159722222222222</v>
      </c>
      <c r="M769" s="15">
        <f t="shared" si="114"/>
        <v>0.190082644628099</v>
      </c>
      <c r="N769" s="16">
        <f t="shared" si="115"/>
        <v>24</v>
      </c>
      <c r="O769" s="16">
        <f t="shared" si="116"/>
        <v>509338.798564328</v>
      </c>
      <c r="P769" s="16">
        <f t="shared" si="117"/>
        <v>195521.259946243</v>
      </c>
      <c r="Q769" s="16">
        <f t="shared" si="118"/>
        <v>13.7047244094488</v>
      </c>
      <c r="R769" s="16">
        <f t="shared" si="119"/>
        <v>2.6050302596473</v>
      </c>
      <c r="S769" s="16">
        <v>154</v>
      </c>
    </row>
    <row r="770" spans="1:19">
      <c r="A770" s="5" t="s">
        <v>598</v>
      </c>
      <c r="B770" s="6">
        <v>108</v>
      </c>
      <c r="C770" s="6">
        <v>4.5</v>
      </c>
      <c r="D770" s="6">
        <v>4158</v>
      </c>
      <c r="E770" s="6">
        <v>348.1</v>
      </c>
      <c r="F770" s="6">
        <v>25.4</v>
      </c>
      <c r="G770" s="5" t="s">
        <v>20</v>
      </c>
      <c r="H770" s="6">
        <v>292</v>
      </c>
      <c r="I770" s="14">
        <f t="shared" si="110"/>
        <v>9160.88417786784</v>
      </c>
      <c r="J770" s="15">
        <f t="shared" si="111"/>
        <v>1463.19677840945</v>
      </c>
      <c r="K770" s="15">
        <f t="shared" si="112"/>
        <v>7697.68739945839</v>
      </c>
      <c r="L770" s="15">
        <f t="shared" si="113"/>
        <v>0.159722222222222</v>
      </c>
      <c r="M770" s="15">
        <f t="shared" si="114"/>
        <v>0.190082644628099</v>
      </c>
      <c r="N770" s="16">
        <f t="shared" si="115"/>
        <v>24</v>
      </c>
      <c r="O770" s="16">
        <f t="shared" si="116"/>
        <v>509338.798564328</v>
      </c>
      <c r="P770" s="16">
        <f t="shared" si="117"/>
        <v>195521.259946243</v>
      </c>
      <c r="Q770" s="16">
        <f t="shared" si="118"/>
        <v>13.7047244094488</v>
      </c>
      <c r="R770" s="16">
        <f t="shared" si="119"/>
        <v>2.6050302596473</v>
      </c>
      <c r="S770" s="16">
        <v>154</v>
      </c>
    </row>
    <row r="771" spans="1:19">
      <c r="A771" s="5" t="s">
        <v>599</v>
      </c>
      <c r="B771" s="6">
        <v>108</v>
      </c>
      <c r="C771" s="6">
        <v>4.5</v>
      </c>
      <c r="D771" s="6">
        <v>4158</v>
      </c>
      <c r="E771" s="6">
        <v>348.1</v>
      </c>
      <c r="F771" s="6">
        <v>37.4</v>
      </c>
      <c r="G771" s="5" t="s">
        <v>20</v>
      </c>
      <c r="H771" s="6">
        <v>298</v>
      </c>
      <c r="I771" s="14">
        <f t="shared" ref="I771:I834" si="120">(PI()*B771^2)/4</f>
        <v>9160.88417786784</v>
      </c>
      <c r="J771" s="15">
        <f t="shared" ref="J771:J834" si="121">(PI()*(B771^2-(B771-2*C771)^2))/4</f>
        <v>1463.19677840945</v>
      </c>
      <c r="K771" s="15">
        <f t="shared" ref="K771:K834" si="122">(PI()*(B771-2*C771)^2)/4</f>
        <v>7697.68739945839</v>
      </c>
      <c r="L771" s="15">
        <f t="shared" ref="L771:L834" si="123">J771/I771</f>
        <v>0.159722222222222</v>
      </c>
      <c r="M771" s="15">
        <f t="shared" ref="M771:M834" si="124">J771/K771</f>
        <v>0.190082644628099</v>
      </c>
      <c r="N771" s="16">
        <f t="shared" ref="N771:N834" si="125">B771/C771</f>
        <v>24</v>
      </c>
      <c r="O771" s="16">
        <f t="shared" ref="O771:O834" si="126">J771*E771</f>
        <v>509338.798564328</v>
      </c>
      <c r="P771" s="16">
        <f t="shared" ref="P771:P834" si="127">K771*F771</f>
        <v>287893.508739744</v>
      </c>
      <c r="Q771" s="16">
        <f t="shared" ref="Q771:Q834" si="128">E771/F771</f>
        <v>9.30748663101604</v>
      </c>
      <c r="R771" s="16">
        <f t="shared" ref="R771:R834" si="129">O771/P771</f>
        <v>1.76919167366421</v>
      </c>
      <c r="S771" s="16">
        <v>154</v>
      </c>
    </row>
    <row r="772" spans="1:19">
      <c r="A772" s="5" t="s">
        <v>600</v>
      </c>
      <c r="B772" s="6">
        <v>108</v>
      </c>
      <c r="C772" s="6">
        <v>4.5</v>
      </c>
      <c r="D772" s="6">
        <v>4158</v>
      </c>
      <c r="E772" s="6">
        <v>348.1</v>
      </c>
      <c r="F772" s="6">
        <v>37.4</v>
      </c>
      <c r="G772" s="5" t="s">
        <v>20</v>
      </c>
      <c r="H772" s="6">
        <v>280</v>
      </c>
      <c r="I772" s="14">
        <f t="shared" si="120"/>
        <v>9160.88417786784</v>
      </c>
      <c r="J772" s="15">
        <f t="shared" si="121"/>
        <v>1463.19677840945</v>
      </c>
      <c r="K772" s="15">
        <f t="shared" si="122"/>
        <v>7697.68739945839</v>
      </c>
      <c r="L772" s="15">
        <f t="shared" si="123"/>
        <v>0.159722222222222</v>
      </c>
      <c r="M772" s="15">
        <f t="shared" si="124"/>
        <v>0.190082644628099</v>
      </c>
      <c r="N772" s="16">
        <f t="shared" si="125"/>
        <v>24</v>
      </c>
      <c r="O772" s="16">
        <f t="shared" si="126"/>
        <v>509338.798564328</v>
      </c>
      <c r="P772" s="16">
        <f t="shared" si="127"/>
        <v>287893.508739744</v>
      </c>
      <c r="Q772" s="16">
        <f t="shared" si="128"/>
        <v>9.30748663101604</v>
      </c>
      <c r="R772" s="16">
        <f t="shared" si="129"/>
        <v>1.76919167366421</v>
      </c>
      <c r="S772" s="16">
        <v>154</v>
      </c>
    </row>
    <row r="773" spans="1:19">
      <c r="A773" s="5" t="s">
        <v>601</v>
      </c>
      <c r="B773" s="6">
        <v>108</v>
      </c>
      <c r="C773" s="6">
        <v>4.5</v>
      </c>
      <c r="D773" s="6">
        <v>4023</v>
      </c>
      <c r="E773" s="6">
        <v>348.1</v>
      </c>
      <c r="F773" s="6">
        <v>37.4</v>
      </c>
      <c r="G773" s="5" t="s">
        <v>20</v>
      </c>
      <c r="H773" s="6">
        <v>318</v>
      </c>
      <c r="I773" s="14">
        <f t="shared" si="120"/>
        <v>9160.88417786784</v>
      </c>
      <c r="J773" s="15">
        <f t="shared" si="121"/>
        <v>1463.19677840945</v>
      </c>
      <c r="K773" s="15">
        <f t="shared" si="122"/>
        <v>7697.68739945839</v>
      </c>
      <c r="L773" s="15">
        <f t="shared" si="123"/>
        <v>0.159722222222222</v>
      </c>
      <c r="M773" s="15">
        <f t="shared" si="124"/>
        <v>0.190082644628099</v>
      </c>
      <c r="N773" s="16">
        <f t="shared" si="125"/>
        <v>24</v>
      </c>
      <c r="O773" s="16">
        <f t="shared" si="126"/>
        <v>509338.798564328</v>
      </c>
      <c r="P773" s="16">
        <f t="shared" si="127"/>
        <v>287893.508739744</v>
      </c>
      <c r="Q773" s="16">
        <f t="shared" si="128"/>
        <v>9.30748663101604</v>
      </c>
      <c r="R773" s="16">
        <f t="shared" si="129"/>
        <v>1.76919167366421</v>
      </c>
      <c r="S773" s="16">
        <v>149</v>
      </c>
    </row>
    <row r="774" spans="1:19">
      <c r="A774" s="5" t="s">
        <v>602</v>
      </c>
      <c r="B774" s="6">
        <v>108</v>
      </c>
      <c r="C774" s="6">
        <v>4.5</v>
      </c>
      <c r="D774" s="6">
        <v>4023</v>
      </c>
      <c r="E774" s="6">
        <v>348.1</v>
      </c>
      <c r="F774" s="6">
        <v>37.4</v>
      </c>
      <c r="G774" s="5" t="s">
        <v>20</v>
      </c>
      <c r="H774" s="6">
        <v>320</v>
      </c>
      <c r="I774" s="14">
        <f t="shared" si="120"/>
        <v>9160.88417786784</v>
      </c>
      <c r="J774" s="15">
        <f t="shared" si="121"/>
        <v>1463.19677840945</v>
      </c>
      <c r="K774" s="15">
        <f t="shared" si="122"/>
        <v>7697.68739945839</v>
      </c>
      <c r="L774" s="15">
        <f t="shared" si="123"/>
        <v>0.159722222222222</v>
      </c>
      <c r="M774" s="15">
        <f t="shared" si="124"/>
        <v>0.190082644628099</v>
      </c>
      <c r="N774" s="16">
        <f t="shared" si="125"/>
        <v>24</v>
      </c>
      <c r="O774" s="16">
        <f t="shared" si="126"/>
        <v>509338.798564328</v>
      </c>
      <c r="P774" s="16">
        <f t="shared" si="127"/>
        <v>287893.508739744</v>
      </c>
      <c r="Q774" s="16">
        <f t="shared" si="128"/>
        <v>9.30748663101604</v>
      </c>
      <c r="R774" s="16">
        <f t="shared" si="129"/>
        <v>1.76919167366421</v>
      </c>
      <c r="S774" s="16">
        <v>149</v>
      </c>
    </row>
    <row r="775" spans="1:19">
      <c r="A775" s="5" t="s">
        <v>603</v>
      </c>
      <c r="B775" s="6">
        <v>108</v>
      </c>
      <c r="C775" s="6">
        <v>4.5</v>
      </c>
      <c r="D775" s="6">
        <v>3807</v>
      </c>
      <c r="E775" s="6">
        <v>348.1</v>
      </c>
      <c r="F775" s="6">
        <v>25.4</v>
      </c>
      <c r="G775" s="5" t="s">
        <v>20</v>
      </c>
      <c r="H775" s="6">
        <v>350</v>
      </c>
      <c r="I775" s="14">
        <f t="shared" si="120"/>
        <v>9160.88417786784</v>
      </c>
      <c r="J775" s="15">
        <f t="shared" si="121"/>
        <v>1463.19677840945</v>
      </c>
      <c r="K775" s="15">
        <f t="shared" si="122"/>
        <v>7697.68739945839</v>
      </c>
      <c r="L775" s="15">
        <f t="shared" si="123"/>
        <v>0.159722222222222</v>
      </c>
      <c r="M775" s="15">
        <f t="shared" si="124"/>
        <v>0.190082644628099</v>
      </c>
      <c r="N775" s="16">
        <f t="shared" si="125"/>
        <v>24</v>
      </c>
      <c r="O775" s="16">
        <f t="shared" si="126"/>
        <v>509338.798564328</v>
      </c>
      <c r="P775" s="16">
        <f t="shared" si="127"/>
        <v>195521.259946243</v>
      </c>
      <c r="Q775" s="16">
        <f t="shared" si="128"/>
        <v>13.7047244094488</v>
      </c>
      <c r="R775" s="16">
        <f t="shared" si="129"/>
        <v>2.6050302596473</v>
      </c>
      <c r="S775" s="16">
        <v>141</v>
      </c>
    </row>
    <row r="776" spans="1:19">
      <c r="A776" s="5" t="s">
        <v>604</v>
      </c>
      <c r="B776" s="6">
        <v>108</v>
      </c>
      <c r="C776" s="6">
        <v>4.5</v>
      </c>
      <c r="D776" s="6">
        <v>3807</v>
      </c>
      <c r="E776" s="6">
        <v>348.1</v>
      </c>
      <c r="F776" s="6">
        <v>25.4</v>
      </c>
      <c r="G776" s="5" t="s">
        <v>20</v>
      </c>
      <c r="H776" s="6">
        <v>370</v>
      </c>
      <c r="I776" s="14">
        <f t="shared" si="120"/>
        <v>9160.88417786784</v>
      </c>
      <c r="J776" s="15">
        <f t="shared" si="121"/>
        <v>1463.19677840945</v>
      </c>
      <c r="K776" s="15">
        <f t="shared" si="122"/>
        <v>7697.68739945839</v>
      </c>
      <c r="L776" s="15">
        <f t="shared" si="123"/>
        <v>0.159722222222222</v>
      </c>
      <c r="M776" s="15">
        <f t="shared" si="124"/>
        <v>0.190082644628099</v>
      </c>
      <c r="N776" s="16">
        <f t="shared" si="125"/>
        <v>24</v>
      </c>
      <c r="O776" s="16">
        <f t="shared" si="126"/>
        <v>509338.798564328</v>
      </c>
      <c r="P776" s="16">
        <f t="shared" si="127"/>
        <v>195521.259946243</v>
      </c>
      <c r="Q776" s="16">
        <f t="shared" si="128"/>
        <v>13.7047244094488</v>
      </c>
      <c r="R776" s="16">
        <f t="shared" si="129"/>
        <v>2.6050302596473</v>
      </c>
      <c r="S776" s="16">
        <v>141</v>
      </c>
    </row>
    <row r="777" spans="1:19">
      <c r="A777" s="5" t="s">
        <v>605</v>
      </c>
      <c r="B777" s="6">
        <v>108</v>
      </c>
      <c r="C777" s="6">
        <v>4.5</v>
      </c>
      <c r="D777" s="6">
        <v>3510</v>
      </c>
      <c r="E777" s="6">
        <v>348.1</v>
      </c>
      <c r="F777" s="6">
        <v>25.4</v>
      </c>
      <c r="G777" s="5" t="s">
        <v>20</v>
      </c>
      <c r="H777" s="6">
        <v>400</v>
      </c>
      <c r="I777" s="14">
        <f t="shared" si="120"/>
        <v>9160.88417786784</v>
      </c>
      <c r="J777" s="15">
        <f t="shared" si="121"/>
        <v>1463.19677840945</v>
      </c>
      <c r="K777" s="15">
        <f t="shared" si="122"/>
        <v>7697.68739945839</v>
      </c>
      <c r="L777" s="15">
        <f t="shared" si="123"/>
        <v>0.159722222222222</v>
      </c>
      <c r="M777" s="15">
        <f t="shared" si="124"/>
        <v>0.190082644628099</v>
      </c>
      <c r="N777" s="16">
        <f t="shared" si="125"/>
        <v>24</v>
      </c>
      <c r="O777" s="16">
        <f t="shared" si="126"/>
        <v>509338.798564328</v>
      </c>
      <c r="P777" s="16">
        <f t="shared" si="127"/>
        <v>195521.259946243</v>
      </c>
      <c r="Q777" s="16">
        <f t="shared" si="128"/>
        <v>13.7047244094488</v>
      </c>
      <c r="R777" s="16">
        <f t="shared" si="129"/>
        <v>2.6050302596473</v>
      </c>
      <c r="S777" s="16">
        <v>130</v>
      </c>
    </row>
    <row r="778" spans="1:19">
      <c r="A778" s="5" t="s">
        <v>606</v>
      </c>
      <c r="B778" s="6">
        <v>108</v>
      </c>
      <c r="C778" s="6">
        <v>4.5</v>
      </c>
      <c r="D778" s="6">
        <v>3510</v>
      </c>
      <c r="E778" s="6">
        <v>348.1</v>
      </c>
      <c r="F778" s="6">
        <v>25.4</v>
      </c>
      <c r="G778" s="5" t="s">
        <v>20</v>
      </c>
      <c r="H778" s="6">
        <v>390</v>
      </c>
      <c r="I778" s="14">
        <f t="shared" si="120"/>
        <v>9160.88417786784</v>
      </c>
      <c r="J778" s="15">
        <f t="shared" si="121"/>
        <v>1463.19677840945</v>
      </c>
      <c r="K778" s="15">
        <f t="shared" si="122"/>
        <v>7697.68739945839</v>
      </c>
      <c r="L778" s="15">
        <f t="shared" si="123"/>
        <v>0.159722222222222</v>
      </c>
      <c r="M778" s="15">
        <f t="shared" si="124"/>
        <v>0.190082644628099</v>
      </c>
      <c r="N778" s="16">
        <f t="shared" si="125"/>
        <v>24</v>
      </c>
      <c r="O778" s="16">
        <f t="shared" si="126"/>
        <v>509338.798564328</v>
      </c>
      <c r="P778" s="16">
        <f t="shared" si="127"/>
        <v>195521.259946243</v>
      </c>
      <c r="Q778" s="16">
        <f t="shared" si="128"/>
        <v>13.7047244094488</v>
      </c>
      <c r="R778" s="16">
        <f t="shared" si="129"/>
        <v>2.6050302596473</v>
      </c>
      <c r="S778" s="16">
        <v>130</v>
      </c>
    </row>
    <row r="779" spans="1:19">
      <c r="A779" s="5" t="s">
        <v>607</v>
      </c>
      <c r="B779" s="6">
        <v>108</v>
      </c>
      <c r="C779" s="6">
        <v>4.5</v>
      </c>
      <c r="D779" s="6">
        <v>3510</v>
      </c>
      <c r="E779" s="6">
        <v>348.1</v>
      </c>
      <c r="F779" s="6">
        <v>37.4</v>
      </c>
      <c r="G779" s="5" t="s">
        <v>20</v>
      </c>
      <c r="H779" s="6">
        <v>440</v>
      </c>
      <c r="I779" s="14">
        <f t="shared" si="120"/>
        <v>9160.88417786784</v>
      </c>
      <c r="J779" s="15">
        <f t="shared" si="121"/>
        <v>1463.19677840945</v>
      </c>
      <c r="K779" s="15">
        <f t="shared" si="122"/>
        <v>7697.68739945839</v>
      </c>
      <c r="L779" s="15">
        <f t="shared" si="123"/>
        <v>0.159722222222222</v>
      </c>
      <c r="M779" s="15">
        <f t="shared" si="124"/>
        <v>0.190082644628099</v>
      </c>
      <c r="N779" s="16">
        <f t="shared" si="125"/>
        <v>24</v>
      </c>
      <c r="O779" s="16">
        <f t="shared" si="126"/>
        <v>509338.798564328</v>
      </c>
      <c r="P779" s="16">
        <f t="shared" si="127"/>
        <v>287893.508739744</v>
      </c>
      <c r="Q779" s="16">
        <f t="shared" si="128"/>
        <v>9.30748663101604</v>
      </c>
      <c r="R779" s="16">
        <f t="shared" si="129"/>
        <v>1.76919167366421</v>
      </c>
      <c r="S779" s="16">
        <v>130</v>
      </c>
    </row>
    <row r="780" spans="1:19">
      <c r="A780" s="5" t="s">
        <v>608</v>
      </c>
      <c r="B780" s="6">
        <v>114</v>
      </c>
      <c r="C780" s="6">
        <v>1.79</v>
      </c>
      <c r="D780" s="6">
        <v>850</v>
      </c>
      <c r="E780" s="6">
        <v>266</v>
      </c>
      <c r="F780" s="6">
        <v>37</v>
      </c>
      <c r="G780" s="5" t="s">
        <v>20</v>
      </c>
      <c r="H780" s="6">
        <v>515</v>
      </c>
      <c r="I780" s="14">
        <f t="shared" si="120"/>
        <v>10207.0345315132</v>
      </c>
      <c r="J780" s="15">
        <f t="shared" si="121"/>
        <v>631.007419870166</v>
      </c>
      <c r="K780" s="15">
        <f t="shared" si="122"/>
        <v>9576.02711164307</v>
      </c>
      <c r="L780" s="15">
        <f t="shared" si="123"/>
        <v>0.061820837180671</v>
      </c>
      <c r="M780" s="15">
        <f t="shared" si="124"/>
        <v>0.0658944896994863</v>
      </c>
      <c r="N780" s="16">
        <f t="shared" si="125"/>
        <v>63.6871508379888</v>
      </c>
      <c r="O780" s="16">
        <f t="shared" si="126"/>
        <v>167847.973685464</v>
      </c>
      <c r="P780" s="16">
        <f t="shared" si="127"/>
        <v>354313.003130794</v>
      </c>
      <c r="Q780" s="16">
        <f t="shared" si="128"/>
        <v>7.18918918918919</v>
      </c>
      <c r="R780" s="16">
        <f t="shared" si="129"/>
        <v>0.473727952974685</v>
      </c>
      <c r="S780" s="16">
        <v>29.8245614035088</v>
      </c>
    </row>
    <row r="781" spans="1:19">
      <c r="A781" s="5" t="s">
        <v>609</v>
      </c>
      <c r="B781" s="6">
        <v>114</v>
      </c>
      <c r="C781" s="6">
        <v>3.35</v>
      </c>
      <c r="D781" s="6">
        <v>850</v>
      </c>
      <c r="E781" s="6">
        <v>291</v>
      </c>
      <c r="F781" s="6">
        <v>37</v>
      </c>
      <c r="G781" s="5" t="s">
        <v>20</v>
      </c>
      <c r="H781" s="6">
        <v>785</v>
      </c>
      <c r="I781" s="14">
        <f t="shared" si="120"/>
        <v>10207.0345315132</v>
      </c>
      <c r="J781" s="15">
        <f t="shared" si="121"/>
        <v>1164.51771085103</v>
      </c>
      <c r="K781" s="15">
        <f t="shared" si="122"/>
        <v>9042.51682066221</v>
      </c>
      <c r="L781" s="15">
        <f t="shared" si="123"/>
        <v>0.11408971991382</v>
      </c>
      <c r="M781" s="15">
        <f t="shared" si="124"/>
        <v>0.128782476598783</v>
      </c>
      <c r="N781" s="16">
        <f t="shared" si="125"/>
        <v>34.0298507462687</v>
      </c>
      <c r="O781" s="16">
        <f t="shared" si="126"/>
        <v>338874.65385765</v>
      </c>
      <c r="P781" s="16">
        <f t="shared" si="127"/>
        <v>334573.122364502</v>
      </c>
      <c r="Q781" s="16">
        <f t="shared" si="128"/>
        <v>7.86486486486486</v>
      </c>
      <c r="R781" s="16">
        <f t="shared" si="129"/>
        <v>1.01285677541205</v>
      </c>
      <c r="S781" s="16">
        <v>29.8245614035088</v>
      </c>
    </row>
    <row r="782" spans="1:19">
      <c r="A782" s="5" t="s">
        <v>610</v>
      </c>
      <c r="B782" s="6">
        <v>114</v>
      </c>
      <c r="C782" s="6">
        <v>4.44</v>
      </c>
      <c r="D782" s="6">
        <v>850</v>
      </c>
      <c r="E782" s="6">
        <v>332</v>
      </c>
      <c r="F782" s="6">
        <v>37</v>
      </c>
      <c r="G782" s="5" t="s">
        <v>20</v>
      </c>
      <c r="H782" s="6">
        <v>902</v>
      </c>
      <c r="I782" s="14">
        <f t="shared" si="120"/>
        <v>10207.0345315132</v>
      </c>
      <c r="J782" s="15">
        <f t="shared" si="121"/>
        <v>1528.2164366052</v>
      </c>
      <c r="K782" s="15">
        <f t="shared" si="122"/>
        <v>8678.81809490804</v>
      </c>
      <c r="L782" s="15">
        <f t="shared" si="123"/>
        <v>0.14972188365651</v>
      </c>
      <c r="M782" s="15">
        <f t="shared" si="124"/>
        <v>0.176085778027981</v>
      </c>
      <c r="N782" s="16">
        <f t="shared" si="125"/>
        <v>25.6756756756757</v>
      </c>
      <c r="O782" s="16">
        <f t="shared" si="126"/>
        <v>507367.856952927</v>
      </c>
      <c r="P782" s="16">
        <f t="shared" si="127"/>
        <v>321116.269511597</v>
      </c>
      <c r="Q782" s="16">
        <f t="shared" si="128"/>
        <v>8.97297297297297</v>
      </c>
      <c r="R782" s="16">
        <f t="shared" si="129"/>
        <v>1.58001292716999</v>
      </c>
      <c r="S782" s="16">
        <v>29.8245614035088</v>
      </c>
    </row>
    <row r="783" spans="1:19">
      <c r="A783" s="5" t="s">
        <v>611</v>
      </c>
      <c r="B783" s="6">
        <v>114</v>
      </c>
      <c r="C783" s="6">
        <v>6</v>
      </c>
      <c r="D783" s="6">
        <v>850</v>
      </c>
      <c r="E783" s="6">
        <v>486</v>
      </c>
      <c r="F783" s="6">
        <v>37</v>
      </c>
      <c r="G783" s="5" t="s">
        <v>20</v>
      </c>
      <c r="H783" s="6">
        <v>1334</v>
      </c>
      <c r="I783" s="14">
        <f t="shared" si="120"/>
        <v>10207.0345315132</v>
      </c>
      <c r="J783" s="15">
        <f t="shared" si="121"/>
        <v>2035.75203952619</v>
      </c>
      <c r="K783" s="15">
        <f t="shared" si="122"/>
        <v>8171.28249198705</v>
      </c>
      <c r="L783" s="15">
        <f t="shared" si="123"/>
        <v>0.199445983379501</v>
      </c>
      <c r="M783" s="15">
        <f t="shared" si="124"/>
        <v>0.249134948096886</v>
      </c>
      <c r="N783" s="16">
        <f t="shared" si="125"/>
        <v>19</v>
      </c>
      <c r="O783" s="16">
        <f t="shared" si="126"/>
        <v>989375.491209726</v>
      </c>
      <c r="P783" s="16">
        <f t="shared" si="127"/>
        <v>302337.452203521</v>
      </c>
      <c r="Q783" s="16">
        <f t="shared" si="128"/>
        <v>13.1351351351351</v>
      </c>
      <c r="R783" s="16">
        <f t="shared" si="129"/>
        <v>3.27242121013747</v>
      </c>
      <c r="S783" s="16">
        <v>29.8245614035088</v>
      </c>
    </row>
    <row r="784" spans="1:19">
      <c r="A784" s="5" t="s">
        <v>612</v>
      </c>
      <c r="B784" s="6">
        <v>114</v>
      </c>
      <c r="C784" s="6">
        <v>5.91</v>
      </c>
      <c r="D784" s="6">
        <v>1250</v>
      </c>
      <c r="E784" s="6">
        <v>486</v>
      </c>
      <c r="F784" s="6">
        <v>25</v>
      </c>
      <c r="G784" s="5" t="s">
        <v>20</v>
      </c>
      <c r="H784" s="6">
        <v>1177</v>
      </c>
      <c r="I784" s="14">
        <f t="shared" si="120"/>
        <v>10207.0345315132</v>
      </c>
      <c r="J784" s="15">
        <f t="shared" si="121"/>
        <v>2006.88677206574</v>
      </c>
      <c r="K784" s="15">
        <f t="shared" si="122"/>
        <v>8200.1477594475</v>
      </c>
      <c r="L784" s="15">
        <f t="shared" si="123"/>
        <v>0.196618005540166</v>
      </c>
      <c r="M784" s="15">
        <f t="shared" si="124"/>
        <v>0.2447378792356</v>
      </c>
      <c r="N784" s="16">
        <f t="shared" si="125"/>
        <v>19.2893401015228</v>
      </c>
      <c r="O784" s="16">
        <f t="shared" si="126"/>
        <v>975346.971223948</v>
      </c>
      <c r="P784" s="16">
        <f t="shared" si="127"/>
        <v>205003.693986188</v>
      </c>
      <c r="Q784" s="16">
        <f t="shared" si="128"/>
        <v>19.44</v>
      </c>
      <c r="R784" s="16">
        <f t="shared" si="129"/>
        <v>4.75770437234006</v>
      </c>
      <c r="S784" s="16">
        <v>43.859649122807</v>
      </c>
    </row>
    <row r="785" spans="1:19">
      <c r="A785" s="5" t="s">
        <v>613</v>
      </c>
      <c r="B785" s="6">
        <v>114</v>
      </c>
      <c r="C785" s="6">
        <v>1.93</v>
      </c>
      <c r="D785" s="6">
        <v>1750</v>
      </c>
      <c r="E785" s="6">
        <v>266</v>
      </c>
      <c r="F785" s="6">
        <v>33</v>
      </c>
      <c r="G785" s="5" t="s">
        <v>20</v>
      </c>
      <c r="H785" s="6">
        <v>461</v>
      </c>
      <c r="I785" s="14">
        <f t="shared" si="120"/>
        <v>10207.0345315132</v>
      </c>
      <c r="J785" s="15">
        <f t="shared" si="121"/>
        <v>679.511097167469</v>
      </c>
      <c r="K785" s="15">
        <f t="shared" si="122"/>
        <v>9527.52343434577</v>
      </c>
      <c r="L785" s="15">
        <f t="shared" si="123"/>
        <v>0.0665728224068944</v>
      </c>
      <c r="M785" s="15">
        <f t="shared" si="124"/>
        <v>0.0713208528795531</v>
      </c>
      <c r="N785" s="16">
        <f t="shared" si="125"/>
        <v>59.0673575129534</v>
      </c>
      <c r="O785" s="16">
        <f t="shared" si="126"/>
        <v>180749.951846547</v>
      </c>
      <c r="P785" s="16">
        <f t="shared" si="127"/>
        <v>314408.27333341</v>
      </c>
      <c r="Q785" s="16">
        <f t="shared" si="128"/>
        <v>8.06060606060606</v>
      </c>
      <c r="R785" s="16">
        <f t="shared" si="129"/>
        <v>0.574889298968519</v>
      </c>
      <c r="S785" s="16">
        <v>61.4035087719298</v>
      </c>
    </row>
    <row r="786" spans="1:19">
      <c r="A786" s="5" t="s">
        <v>614</v>
      </c>
      <c r="B786" s="6">
        <v>114</v>
      </c>
      <c r="C786" s="6">
        <v>3.32</v>
      </c>
      <c r="D786" s="6">
        <v>1750</v>
      </c>
      <c r="E786" s="6">
        <v>291</v>
      </c>
      <c r="F786" s="6">
        <v>30</v>
      </c>
      <c r="G786" s="5" t="s">
        <v>20</v>
      </c>
      <c r="H786" s="6">
        <v>628</v>
      </c>
      <c r="I786" s="14">
        <f t="shared" si="120"/>
        <v>10207.0345315132</v>
      </c>
      <c r="J786" s="15">
        <f t="shared" si="121"/>
        <v>1154.40209666574</v>
      </c>
      <c r="K786" s="15">
        <f t="shared" si="122"/>
        <v>9052.6324348475</v>
      </c>
      <c r="L786" s="15">
        <f t="shared" si="123"/>
        <v>0.113098676515851</v>
      </c>
      <c r="M786" s="15">
        <f t="shared" si="124"/>
        <v>0.127521149784227</v>
      </c>
      <c r="N786" s="16">
        <f t="shared" si="125"/>
        <v>34.3373493975904</v>
      </c>
      <c r="O786" s="16">
        <f t="shared" si="126"/>
        <v>335931.01012973</v>
      </c>
      <c r="P786" s="16">
        <f t="shared" si="127"/>
        <v>271578.973045425</v>
      </c>
      <c r="Q786" s="16">
        <f t="shared" si="128"/>
        <v>9.7</v>
      </c>
      <c r="R786" s="16">
        <f t="shared" si="129"/>
        <v>1.236955152907</v>
      </c>
      <c r="S786" s="16">
        <v>61.4035087719298</v>
      </c>
    </row>
    <row r="787" spans="1:19">
      <c r="A787" s="5" t="s">
        <v>615</v>
      </c>
      <c r="B787" s="6">
        <v>114</v>
      </c>
      <c r="C787" s="6">
        <v>5.94</v>
      </c>
      <c r="D787" s="6">
        <v>1750</v>
      </c>
      <c r="E787" s="6">
        <v>486</v>
      </c>
      <c r="F787" s="6">
        <v>37</v>
      </c>
      <c r="G787" s="5" t="s">
        <v>20</v>
      </c>
      <c r="H787" s="6">
        <v>1138</v>
      </c>
      <c r="I787" s="14">
        <f t="shared" si="120"/>
        <v>10207.0345315132</v>
      </c>
      <c r="J787" s="15">
        <f t="shared" si="121"/>
        <v>2016.51418275266</v>
      </c>
      <c r="K787" s="15">
        <f t="shared" si="122"/>
        <v>8190.52034876058</v>
      </c>
      <c r="L787" s="15">
        <f t="shared" si="123"/>
        <v>0.197561218836565</v>
      </c>
      <c r="M787" s="15">
        <f t="shared" si="124"/>
        <v>0.246200985637965</v>
      </c>
      <c r="N787" s="16">
        <f t="shared" si="125"/>
        <v>19.1919191919192</v>
      </c>
      <c r="O787" s="16">
        <f t="shared" si="126"/>
        <v>980025.892817794</v>
      </c>
      <c r="P787" s="16">
        <f t="shared" si="127"/>
        <v>303049.252904141</v>
      </c>
      <c r="Q787" s="16">
        <f t="shared" si="128"/>
        <v>13.1351351351351</v>
      </c>
      <c r="R787" s="16">
        <f t="shared" si="129"/>
        <v>3.23388321675813</v>
      </c>
      <c r="S787" s="16">
        <v>61.4035087719298</v>
      </c>
    </row>
    <row r="788" spans="1:19">
      <c r="A788" s="5" t="s">
        <v>616</v>
      </c>
      <c r="B788" s="6">
        <v>114</v>
      </c>
      <c r="C788" s="6">
        <v>1.78</v>
      </c>
      <c r="D788" s="6">
        <v>2250</v>
      </c>
      <c r="E788" s="6">
        <v>266</v>
      </c>
      <c r="F788" s="6">
        <v>28</v>
      </c>
      <c r="G788" s="5" t="s">
        <v>20</v>
      </c>
      <c r="H788" s="6">
        <v>373</v>
      </c>
      <c r="I788" s="14">
        <f t="shared" si="120"/>
        <v>10207.0345315132</v>
      </c>
      <c r="J788" s="15">
        <f t="shared" si="121"/>
        <v>627.538159102807</v>
      </c>
      <c r="K788" s="15">
        <f t="shared" si="122"/>
        <v>9579.49637241043</v>
      </c>
      <c r="L788" s="15">
        <f t="shared" si="123"/>
        <v>0.0614809479839951</v>
      </c>
      <c r="M788" s="15">
        <f t="shared" si="124"/>
        <v>0.0655084708743309</v>
      </c>
      <c r="N788" s="16">
        <f t="shared" si="125"/>
        <v>64.0449438202247</v>
      </c>
      <c r="O788" s="16">
        <f t="shared" si="126"/>
        <v>166925.150321347</v>
      </c>
      <c r="P788" s="16">
        <f t="shared" si="127"/>
        <v>268225.898427492</v>
      </c>
      <c r="Q788" s="16">
        <f t="shared" si="128"/>
        <v>9.5</v>
      </c>
      <c r="R788" s="16">
        <f t="shared" si="129"/>
        <v>0.622330473306143</v>
      </c>
      <c r="S788" s="16">
        <v>78.9473684210526</v>
      </c>
    </row>
    <row r="789" spans="1:19">
      <c r="A789" s="5" t="s">
        <v>617</v>
      </c>
      <c r="B789" s="6">
        <v>114</v>
      </c>
      <c r="C789" s="6">
        <v>3.31</v>
      </c>
      <c r="D789" s="6">
        <v>2320</v>
      </c>
      <c r="E789" s="6">
        <v>291</v>
      </c>
      <c r="F789" s="6">
        <v>24</v>
      </c>
      <c r="G789" s="5" t="s">
        <v>20</v>
      </c>
      <c r="H789" s="6">
        <v>535</v>
      </c>
      <c r="I789" s="14">
        <f t="shared" si="120"/>
        <v>10207.0345315132</v>
      </c>
      <c r="J789" s="15">
        <f t="shared" si="121"/>
        <v>1151.02896863358</v>
      </c>
      <c r="K789" s="15">
        <f t="shared" si="122"/>
        <v>9056.00556287966</v>
      </c>
      <c r="L789" s="15">
        <f t="shared" si="123"/>
        <v>0.112768205601724</v>
      </c>
      <c r="M789" s="15">
        <f t="shared" si="124"/>
        <v>0.127101177295166</v>
      </c>
      <c r="N789" s="16">
        <f t="shared" si="125"/>
        <v>34.441087613293</v>
      </c>
      <c r="O789" s="16">
        <f t="shared" si="126"/>
        <v>334949.429872371</v>
      </c>
      <c r="P789" s="16">
        <f t="shared" si="127"/>
        <v>217344.133509112</v>
      </c>
      <c r="Q789" s="16">
        <f t="shared" si="128"/>
        <v>12.125</v>
      </c>
      <c r="R789" s="16">
        <f t="shared" si="129"/>
        <v>1.54110177470389</v>
      </c>
      <c r="S789" s="16">
        <v>81.4035087719298</v>
      </c>
    </row>
    <row r="790" spans="1:19">
      <c r="A790" s="5" t="s">
        <v>618</v>
      </c>
      <c r="B790" s="6">
        <v>114</v>
      </c>
      <c r="C790" s="6">
        <v>6.14</v>
      </c>
      <c r="D790" s="6">
        <v>2250</v>
      </c>
      <c r="E790" s="6">
        <v>486</v>
      </c>
      <c r="F790" s="6">
        <v>28</v>
      </c>
      <c r="G790" s="5" t="s">
        <v>20</v>
      </c>
      <c r="H790" s="6">
        <v>1000</v>
      </c>
      <c r="I790" s="14">
        <f t="shared" si="120"/>
        <v>10207.0345315132</v>
      </c>
      <c r="J790" s="15">
        <f t="shared" si="121"/>
        <v>2080.55240740344</v>
      </c>
      <c r="K790" s="15">
        <f t="shared" si="122"/>
        <v>8126.4821241098</v>
      </c>
      <c r="L790" s="15">
        <f t="shared" si="123"/>
        <v>0.203835149276701</v>
      </c>
      <c r="M790" s="15">
        <f t="shared" si="124"/>
        <v>0.25602128641012</v>
      </c>
      <c r="N790" s="16">
        <f t="shared" si="125"/>
        <v>18.5667752442997</v>
      </c>
      <c r="O790" s="16">
        <f t="shared" si="126"/>
        <v>1011148.46999807</v>
      </c>
      <c r="P790" s="16">
        <f t="shared" si="127"/>
        <v>227541.499475074</v>
      </c>
      <c r="Q790" s="16">
        <f t="shared" si="128"/>
        <v>17.3571428571429</v>
      </c>
      <c r="R790" s="16">
        <f t="shared" si="129"/>
        <v>4.44379804268995</v>
      </c>
      <c r="S790" s="16">
        <v>78.9473684210526</v>
      </c>
    </row>
    <row r="791" spans="1:19">
      <c r="A791" s="5" t="s">
        <v>619</v>
      </c>
      <c r="B791" s="6">
        <v>114</v>
      </c>
      <c r="C791" s="6">
        <v>1.72</v>
      </c>
      <c r="D791" s="6">
        <v>2750</v>
      </c>
      <c r="E791" s="6">
        <v>266</v>
      </c>
      <c r="F791" s="6">
        <v>36</v>
      </c>
      <c r="G791" s="5" t="s">
        <v>20</v>
      </c>
      <c r="H791" s="6">
        <v>353</v>
      </c>
      <c r="I791" s="14">
        <f t="shared" si="120"/>
        <v>10207.0345315132</v>
      </c>
      <c r="J791" s="15">
        <f t="shared" si="121"/>
        <v>606.709399809506</v>
      </c>
      <c r="K791" s="15">
        <f t="shared" si="122"/>
        <v>9600.32513170373</v>
      </c>
      <c r="L791" s="15">
        <f t="shared" si="123"/>
        <v>0.0594403200984918</v>
      </c>
      <c r="M791" s="15">
        <f t="shared" si="124"/>
        <v>0.0631967554729926</v>
      </c>
      <c r="N791" s="16">
        <f t="shared" si="125"/>
        <v>66.2790697674419</v>
      </c>
      <c r="O791" s="16">
        <f t="shared" si="126"/>
        <v>161384.700349329</v>
      </c>
      <c r="P791" s="16">
        <f t="shared" si="127"/>
        <v>345611.704741334</v>
      </c>
      <c r="Q791" s="16">
        <f t="shared" si="128"/>
        <v>7.38888888888889</v>
      </c>
      <c r="R791" s="16">
        <f t="shared" si="129"/>
        <v>0.466953804328223</v>
      </c>
      <c r="S791" s="16">
        <v>96.4912280701754</v>
      </c>
    </row>
    <row r="792" spans="1:19">
      <c r="A792" s="5" t="s">
        <v>620</v>
      </c>
      <c r="B792" s="6">
        <v>114</v>
      </c>
      <c r="C792" s="6">
        <v>3.41</v>
      </c>
      <c r="D792" s="6">
        <v>2750</v>
      </c>
      <c r="E792" s="6">
        <v>291</v>
      </c>
      <c r="F792" s="6">
        <v>36</v>
      </c>
      <c r="G792" s="5" t="s">
        <v>20</v>
      </c>
      <c r="H792" s="6">
        <v>569</v>
      </c>
      <c r="I792" s="14">
        <f t="shared" si="120"/>
        <v>10207.0345315132</v>
      </c>
      <c r="J792" s="15">
        <f t="shared" si="121"/>
        <v>1184.73197462129</v>
      </c>
      <c r="K792" s="15">
        <f t="shared" si="122"/>
        <v>9022.30255689195</v>
      </c>
      <c r="L792" s="15">
        <f t="shared" si="123"/>
        <v>0.116070144659895</v>
      </c>
      <c r="M792" s="15">
        <f t="shared" si="124"/>
        <v>0.131311488076433</v>
      </c>
      <c r="N792" s="16">
        <f t="shared" si="125"/>
        <v>33.4310850439883</v>
      </c>
      <c r="O792" s="16">
        <f t="shared" si="126"/>
        <v>344757.004614794</v>
      </c>
      <c r="P792" s="16">
        <f t="shared" si="127"/>
        <v>324802.89204811</v>
      </c>
      <c r="Q792" s="16">
        <f t="shared" si="128"/>
        <v>8.08333333333333</v>
      </c>
      <c r="R792" s="16">
        <f t="shared" si="129"/>
        <v>1.06143452861783</v>
      </c>
      <c r="S792" s="16">
        <v>96.4912280701754</v>
      </c>
    </row>
    <row r="793" spans="1:19">
      <c r="A793" s="5" t="s">
        <v>621</v>
      </c>
      <c r="B793" s="6">
        <v>114</v>
      </c>
      <c r="C793" s="6">
        <v>4.49</v>
      </c>
      <c r="D793" s="6">
        <v>2750</v>
      </c>
      <c r="E793" s="6">
        <v>332</v>
      </c>
      <c r="F793" s="6">
        <v>31</v>
      </c>
      <c r="G793" s="5" t="s">
        <v>20</v>
      </c>
      <c r="H793" s="6">
        <v>657</v>
      </c>
      <c r="I793" s="14">
        <f t="shared" si="120"/>
        <v>10207.0345315132</v>
      </c>
      <c r="J793" s="15">
        <f t="shared" si="121"/>
        <v>1544.72079361084</v>
      </c>
      <c r="K793" s="15">
        <f t="shared" si="122"/>
        <v>8662.3137379024</v>
      </c>
      <c r="L793" s="15">
        <f t="shared" si="123"/>
        <v>0.151338842720837</v>
      </c>
      <c r="M793" s="15">
        <f t="shared" si="124"/>
        <v>0.178326581136381</v>
      </c>
      <c r="N793" s="16">
        <f t="shared" si="125"/>
        <v>25.3897550111359</v>
      </c>
      <c r="O793" s="16">
        <f t="shared" si="126"/>
        <v>512847.303478798</v>
      </c>
      <c r="P793" s="16">
        <f t="shared" si="127"/>
        <v>268531.725874974</v>
      </c>
      <c r="Q793" s="16">
        <f t="shared" si="128"/>
        <v>10.7096774193548</v>
      </c>
      <c r="R793" s="16">
        <f t="shared" si="129"/>
        <v>1.90982015926704</v>
      </c>
      <c r="S793" s="16">
        <v>96.4912280701754</v>
      </c>
    </row>
    <row r="794" spans="1:19">
      <c r="A794" s="5" t="s">
        <v>622</v>
      </c>
      <c r="B794" s="6">
        <v>114</v>
      </c>
      <c r="C794" s="6">
        <v>6.11</v>
      </c>
      <c r="D794" s="6">
        <v>2750</v>
      </c>
      <c r="E794" s="6">
        <v>486</v>
      </c>
      <c r="F794" s="6">
        <v>33</v>
      </c>
      <c r="G794" s="5" t="s">
        <v>20</v>
      </c>
      <c r="H794" s="6">
        <v>941</v>
      </c>
      <c r="I794" s="14">
        <f t="shared" si="120"/>
        <v>10207.0345315132</v>
      </c>
      <c r="J794" s="15">
        <f t="shared" si="121"/>
        <v>2070.96269582835</v>
      </c>
      <c r="K794" s="15">
        <f t="shared" si="122"/>
        <v>8136.07183568488</v>
      </c>
      <c r="L794" s="15">
        <f t="shared" si="123"/>
        <v>0.202895629424438</v>
      </c>
      <c r="M794" s="15">
        <f t="shared" si="124"/>
        <v>0.254540856773793</v>
      </c>
      <c r="N794" s="16">
        <f t="shared" si="125"/>
        <v>18.657937806874</v>
      </c>
      <c r="O794" s="16">
        <f t="shared" si="126"/>
        <v>1006487.87017258</v>
      </c>
      <c r="P794" s="16">
        <f t="shared" si="127"/>
        <v>268490.370577601</v>
      </c>
      <c r="Q794" s="16">
        <f t="shared" si="128"/>
        <v>14.7272727272727</v>
      </c>
      <c r="R794" s="16">
        <f t="shared" si="129"/>
        <v>3.74869261794131</v>
      </c>
      <c r="S794" s="16">
        <v>96.4912280701754</v>
      </c>
    </row>
    <row r="795" spans="1:19">
      <c r="A795" s="5" t="s">
        <v>623</v>
      </c>
      <c r="B795" s="6">
        <v>215.9</v>
      </c>
      <c r="C795" s="6">
        <v>4.09</v>
      </c>
      <c r="D795" s="6">
        <v>2220</v>
      </c>
      <c r="E795" s="6">
        <v>292</v>
      </c>
      <c r="F795" s="6">
        <v>22.9</v>
      </c>
      <c r="G795" s="5" t="s">
        <v>20</v>
      </c>
      <c r="H795" s="6">
        <v>1650</v>
      </c>
      <c r="I795" s="14">
        <f t="shared" si="120"/>
        <v>36609.6153647942</v>
      </c>
      <c r="J795" s="15">
        <f t="shared" si="121"/>
        <v>2721.57082642353</v>
      </c>
      <c r="K795" s="15">
        <f t="shared" si="122"/>
        <v>33888.0445383707</v>
      </c>
      <c r="L795" s="15">
        <f t="shared" si="123"/>
        <v>0.074340328334636</v>
      </c>
      <c r="M795" s="15">
        <f t="shared" si="124"/>
        <v>0.0803106482978668</v>
      </c>
      <c r="N795" s="16">
        <f t="shared" si="125"/>
        <v>52.7872860635697</v>
      </c>
      <c r="O795" s="16">
        <f t="shared" si="126"/>
        <v>794698.681315672</v>
      </c>
      <c r="P795" s="16">
        <f t="shared" si="127"/>
        <v>776036.219928689</v>
      </c>
      <c r="Q795" s="16">
        <f t="shared" si="128"/>
        <v>12.7510917030568</v>
      </c>
      <c r="R795" s="16">
        <f t="shared" si="129"/>
        <v>1.02404844117804</v>
      </c>
      <c r="S795" s="16">
        <v>41.130152848541</v>
      </c>
    </row>
    <row r="796" spans="1:19">
      <c r="A796" s="5" t="s">
        <v>624</v>
      </c>
      <c r="B796" s="6">
        <v>215.9</v>
      </c>
      <c r="C796" s="6">
        <v>4.09</v>
      </c>
      <c r="D796" s="6">
        <v>2220</v>
      </c>
      <c r="E796" s="6">
        <v>292</v>
      </c>
      <c r="F796" s="6">
        <v>30</v>
      </c>
      <c r="G796" s="5" t="s">
        <v>20</v>
      </c>
      <c r="H796" s="6">
        <v>2264</v>
      </c>
      <c r="I796" s="14">
        <f t="shared" si="120"/>
        <v>36609.6153647942</v>
      </c>
      <c r="J796" s="15">
        <f t="shared" si="121"/>
        <v>2721.57082642353</v>
      </c>
      <c r="K796" s="15">
        <f t="shared" si="122"/>
        <v>33888.0445383707</v>
      </c>
      <c r="L796" s="15">
        <f t="shared" si="123"/>
        <v>0.074340328334636</v>
      </c>
      <c r="M796" s="15">
        <f t="shared" si="124"/>
        <v>0.0803106482978668</v>
      </c>
      <c r="N796" s="16">
        <f t="shared" si="125"/>
        <v>52.7872860635697</v>
      </c>
      <c r="O796" s="16">
        <f t="shared" si="126"/>
        <v>794698.681315672</v>
      </c>
      <c r="P796" s="16">
        <f t="shared" si="127"/>
        <v>1016641.33615112</v>
      </c>
      <c r="Q796" s="16">
        <f t="shared" si="128"/>
        <v>9.73333333333333</v>
      </c>
      <c r="R796" s="16">
        <f t="shared" si="129"/>
        <v>0.781690310099237</v>
      </c>
      <c r="S796" s="16">
        <v>41.130152848541</v>
      </c>
    </row>
    <row r="797" spans="1:19">
      <c r="A797" s="5" t="s">
        <v>625</v>
      </c>
      <c r="B797" s="6">
        <v>215.9</v>
      </c>
      <c r="C797" s="6">
        <v>6</v>
      </c>
      <c r="D797" s="6">
        <v>2220</v>
      </c>
      <c r="E797" s="6">
        <v>392</v>
      </c>
      <c r="F797" s="6">
        <v>22.9</v>
      </c>
      <c r="G797" s="5" t="s">
        <v>20</v>
      </c>
      <c r="H797" s="6">
        <v>2442</v>
      </c>
      <c r="I797" s="14">
        <f t="shared" si="120"/>
        <v>36609.6153647942</v>
      </c>
      <c r="J797" s="15">
        <f t="shared" si="121"/>
        <v>3956.52178793099</v>
      </c>
      <c r="K797" s="15">
        <f t="shared" si="122"/>
        <v>32653.0935768632</v>
      </c>
      <c r="L797" s="15">
        <f t="shared" si="123"/>
        <v>0.108073295731367</v>
      </c>
      <c r="M797" s="15">
        <f t="shared" si="124"/>
        <v>0.121168359702813</v>
      </c>
      <c r="N797" s="16">
        <f t="shared" si="125"/>
        <v>35.9833333333333</v>
      </c>
      <c r="O797" s="16">
        <f t="shared" si="126"/>
        <v>1550956.54086895</v>
      </c>
      <c r="P797" s="16">
        <f t="shared" si="127"/>
        <v>747755.842910168</v>
      </c>
      <c r="Q797" s="16">
        <f t="shared" si="128"/>
        <v>17.117903930131</v>
      </c>
      <c r="R797" s="16">
        <f t="shared" si="129"/>
        <v>2.07414834076432</v>
      </c>
      <c r="S797" s="16">
        <v>41.130152848541</v>
      </c>
    </row>
    <row r="798" spans="1:19">
      <c r="A798" s="5" t="s">
        <v>626</v>
      </c>
      <c r="B798" s="6">
        <v>215.9</v>
      </c>
      <c r="C798" s="6">
        <v>6</v>
      </c>
      <c r="D798" s="6">
        <v>2220</v>
      </c>
      <c r="E798" s="6">
        <v>350</v>
      </c>
      <c r="F798" s="6">
        <v>30</v>
      </c>
      <c r="G798" s="5" t="s">
        <v>20</v>
      </c>
      <c r="H798" s="6">
        <v>2869</v>
      </c>
      <c r="I798" s="14">
        <f t="shared" si="120"/>
        <v>36609.6153647942</v>
      </c>
      <c r="J798" s="15">
        <f t="shared" si="121"/>
        <v>3956.52178793099</v>
      </c>
      <c r="K798" s="15">
        <f t="shared" si="122"/>
        <v>32653.0935768632</v>
      </c>
      <c r="L798" s="15">
        <f t="shared" si="123"/>
        <v>0.108073295731367</v>
      </c>
      <c r="M798" s="15">
        <f t="shared" si="124"/>
        <v>0.121168359702813</v>
      </c>
      <c r="N798" s="16">
        <f t="shared" si="125"/>
        <v>35.9833333333333</v>
      </c>
      <c r="O798" s="16">
        <f t="shared" si="126"/>
        <v>1384782.62577585</v>
      </c>
      <c r="P798" s="16">
        <f t="shared" si="127"/>
        <v>979592.807305897</v>
      </c>
      <c r="Q798" s="16">
        <f t="shared" si="128"/>
        <v>11.6666666666667</v>
      </c>
      <c r="R798" s="16">
        <f t="shared" si="129"/>
        <v>1.41363086319949</v>
      </c>
      <c r="S798" s="16">
        <v>41.130152848541</v>
      </c>
    </row>
    <row r="799" spans="1:19">
      <c r="A799" s="5" t="s">
        <v>627</v>
      </c>
      <c r="B799" s="6">
        <v>120.9</v>
      </c>
      <c r="C799" s="6">
        <v>3.76</v>
      </c>
      <c r="D799" s="6">
        <v>1050</v>
      </c>
      <c r="E799" s="6">
        <v>312</v>
      </c>
      <c r="F799" s="6">
        <v>21.1</v>
      </c>
      <c r="G799" s="5" t="s">
        <v>20</v>
      </c>
      <c r="H799" s="6">
        <v>721</v>
      </c>
      <c r="I799" s="14">
        <f t="shared" si="120"/>
        <v>11480.0157287295</v>
      </c>
      <c r="J799" s="15">
        <f t="shared" si="121"/>
        <v>1383.70317454007</v>
      </c>
      <c r="K799" s="15">
        <f t="shared" si="122"/>
        <v>10096.3125541894</v>
      </c>
      <c r="L799" s="15">
        <f t="shared" si="123"/>
        <v>0.120531470272925</v>
      </c>
      <c r="M799" s="15">
        <f t="shared" si="124"/>
        <v>0.137050350522866</v>
      </c>
      <c r="N799" s="16">
        <f t="shared" si="125"/>
        <v>32.1542553191489</v>
      </c>
      <c r="O799" s="16">
        <f t="shared" si="126"/>
        <v>431715.390456502</v>
      </c>
      <c r="P799" s="16">
        <f t="shared" si="127"/>
        <v>213032.194893396</v>
      </c>
      <c r="Q799" s="16">
        <f t="shared" si="128"/>
        <v>14.7867298578199</v>
      </c>
      <c r="R799" s="16">
        <f t="shared" si="129"/>
        <v>2.02652651010115</v>
      </c>
      <c r="S799" s="16">
        <v>34.7394540942928</v>
      </c>
    </row>
    <row r="800" spans="1:19">
      <c r="A800" s="5" t="s">
        <v>628</v>
      </c>
      <c r="B800" s="6">
        <v>120.9</v>
      </c>
      <c r="C800" s="6">
        <v>3.76</v>
      </c>
      <c r="D800" s="6">
        <v>2310</v>
      </c>
      <c r="E800" s="6">
        <v>312</v>
      </c>
      <c r="F800" s="6">
        <v>21.1</v>
      </c>
      <c r="G800" s="5" t="s">
        <v>20</v>
      </c>
      <c r="H800" s="6">
        <v>636</v>
      </c>
      <c r="I800" s="14">
        <f t="shared" si="120"/>
        <v>11480.0157287295</v>
      </c>
      <c r="J800" s="15">
        <f t="shared" si="121"/>
        <v>1383.70317454007</v>
      </c>
      <c r="K800" s="15">
        <f t="shared" si="122"/>
        <v>10096.3125541894</v>
      </c>
      <c r="L800" s="15">
        <f t="shared" si="123"/>
        <v>0.120531470272925</v>
      </c>
      <c r="M800" s="15">
        <f t="shared" si="124"/>
        <v>0.137050350522866</v>
      </c>
      <c r="N800" s="16">
        <f t="shared" si="125"/>
        <v>32.1542553191489</v>
      </c>
      <c r="O800" s="16">
        <f t="shared" si="126"/>
        <v>431715.390456502</v>
      </c>
      <c r="P800" s="16">
        <f t="shared" si="127"/>
        <v>213032.194893396</v>
      </c>
      <c r="Q800" s="16">
        <f t="shared" si="128"/>
        <v>14.7867298578199</v>
      </c>
      <c r="R800" s="16">
        <f t="shared" si="129"/>
        <v>2.02652651010115</v>
      </c>
      <c r="S800" s="16">
        <v>76.4267990074442</v>
      </c>
    </row>
    <row r="801" spans="1:19">
      <c r="A801" s="5" t="s">
        <v>629</v>
      </c>
      <c r="B801" s="6">
        <v>120.9</v>
      </c>
      <c r="C801" s="6">
        <v>5.53</v>
      </c>
      <c r="D801" s="6">
        <v>1050</v>
      </c>
      <c r="E801" s="6">
        <v>343</v>
      </c>
      <c r="F801" s="6">
        <v>21.1</v>
      </c>
      <c r="G801" s="5" t="s">
        <v>20</v>
      </c>
      <c r="H801" s="6">
        <v>1010</v>
      </c>
      <c r="I801" s="14">
        <f t="shared" si="120"/>
        <v>11480.0157287295</v>
      </c>
      <c r="J801" s="15">
        <f t="shared" si="121"/>
        <v>2004.32386077894</v>
      </c>
      <c r="K801" s="15">
        <f t="shared" si="122"/>
        <v>9475.69186795052</v>
      </c>
      <c r="L801" s="15">
        <f t="shared" si="123"/>
        <v>0.174592431590751</v>
      </c>
      <c r="M801" s="15">
        <f t="shared" si="124"/>
        <v>0.211522692876721</v>
      </c>
      <c r="N801" s="16">
        <f t="shared" si="125"/>
        <v>21.8625678119349</v>
      </c>
      <c r="O801" s="16">
        <f t="shared" si="126"/>
        <v>687483.084247176</v>
      </c>
      <c r="P801" s="16">
        <f t="shared" si="127"/>
        <v>199937.098413756</v>
      </c>
      <c r="Q801" s="16">
        <f t="shared" si="128"/>
        <v>16.2559241706161</v>
      </c>
      <c r="R801" s="16">
        <f t="shared" si="129"/>
        <v>3.4384968557685</v>
      </c>
      <c r="S801" s="16">
        <v>34.7394540942928</v>
      </c>
    </row>
    <row r="802" spans="1:19">
      <c r="A802" s="5" t="s">
        <v>630</v>
      </c>
      <c r="B802" s="6">
        <v>120.9</v>
      </c>
      <c r="C802" s="6">
        <v>5.53</v>
      </c>
      <c r="D802" s="6">
        <v>1050</v>
      </c>
      <c r="E802" s="6">
        <v>343</v>
      </c>
      <c r="F802" s="6">
        <v>24.2</v>
      </c>
      <c r="G802" s="5" t="s">
        <v>20</v>
      </c>
      <c r="H802" s="6">
        <v>1090</v>
      </c>
      <c r="I802" s="14">
        <f t="shared" si="120"/>
        <v>11480.0157287295</v>
      </c>
      <c r="J802" s="15">
        <f t="shared" si="121"/>
        <v>2004.32386077894</v>
      </c>
      <c r="K802" s="15">
        <f t="shared" si="122"/>
        <v>9475.69186795052</v>
      </c>
      <c r="L802" s="15">
        <f t="shared" si="123"/>
        <v>0.174592431590751</v>
      </c>
      <c r="M802" s="15">
        <f t="shared" si="124"/>
        <v>0.211522692876721</v>
      </c>
      <c r="N802" s="16">
        <f t="shared" si="125"/>
        <v>21.8625678119349</v>
      </c>
      <c r="O802" s="16">
        <f t="shared" si="126"/>
        <v>687483.084247176</v>
      </c>
      <c r="P802" s="16">
        <f t="shared" si="127"/>
        <v>229311.743204403</v>
      </c>
      <c r="Q802" s="16">
        <f t="shared" si="128"/>
        <v>14.1735537190083</v>
      </c>
      <c r="R802" s="16">
        <f t="shared" si="129"/>
        <v>2.99802825027749</v>
      </c>
      <c r="S802" s="16">
        <v>34.7394540942928</v>
      </c>
    </row>
    <row r="803" spans="1:19">
      <c r="A803" s="5" t="s">
        <v>631</v>
      </c>
      <c r="B803" s="6">
        <v>95</v>
      </c>
      <c r="C803" s="6">
        <v>3.65</v>
      </c>
      <c r="D803" s="6">
        <v>1370</v>
      </c>
      <c r="E803" s="6">
        <v>350</v>
      </c>
      <c r="F803" s="6">
        <v>25</v>
      </c>
      <c r="G803" s="5" t="s">
        <v>20</v>
      </c>
      <c r="H803" s="6">
        <v>667</v>
      </c>
      <c r="I803" s="14">
        <f t="shared" si="120"/>
        <v>7088.21842466197</v>
      </c>
      <c r="J803" s="15">
        <f t="shared" si="121"/>
        <v>1047.49338450481</v>
      </c>
      <c r="K803" s="15">
        <f t="shared" si="122"/>
        <v>6040.72504015716</v>
      </c>
      <c r="L803" s="15">
        <f t="shared" si="123"/>
        <v>0.147779501385041</v>
      </c>
      <c r="M803" s="15">
        <f t="shared" si="124"/>
        <v>0.173405241513452</v>
      </c>
      <c r="N803" s="16">
        <f t="shared" si="125"/>
        <v>26.027397260274</v>
      </c>
      <c r="O803" s="16">
        <f t="shared" si="126"/>
        <v>366622.684576684</v>
      </c>
      <c r="P803" s="16">
        <f t="shared" si="127"/>
        <v>151018.126003929</v>
      </c>
      <c r="Q803" s="16">
        <f t="shared" si="128"/>
        <v>14</v>
      </c>
      <c r="R803" s="16">
        <f t="shared" si="129"/>
        <v>2.42767338118833</v>
      </c>
      <c r="S803" s="16">
        <v>57.6842105263158</v>
      </c>
    </row>
    <row r="804" spans="1:19">
      <c r="A804" s="5" t="s">
        <v>632</v>
      </c>
      <c r="B804" s="6">
        <v>95</v>
      </c>
      <c r="C804" s="6">
        <v>3.65</v>
      </c>
      <c r="D804" s="6">
        <v>1420</v>
      </c>
      <c r="E804" s="6">
        <v>350</v>
      </c>
      <c r="F804" s="6">
        <v>25</v>
      </c>
      <c r="G804" s="5" t="s">
        <v>20</v>
      </c>
      <c r="H804" s="6">
        <v>583</v>
      </c>
      <c r="I804" s="14">
        <f t="shared" si="120"/>
        <v>7088.21842466197</v>
      </c>
      <c r="J804" s="15">
        <f t="shared" si="121"/>
        <v>1047.49338450481</v>
      </c>
      <c r="K804" s="15">
        <f t="shared" si="122"/>
        <v>6040.72504015716</v>
      </c>
      <c r="L804" s="15">
        <f t="shared" si="123"/>
        <v>0.147779501385041</v>
      </c>
      <c r="M804" s="15">
        <f t="shared" si="124"/>
        <v>0.173405241513452</v>
      </c>
      <c r="N804" s="16">
        <f t="shared" si="125"/>
        <v>26.027397260274</v>
      </c>
      <c r="O804" s="16">
        <f t="shared" si="126"/>
        <v>366622.684576684</v>
      </c>
      <c r="P804" s="16">
        <f t="shared" si="127"/>
        <v>151018.126003929</v>
      </c>
      <c r="Q804" s="16">
        <f t="shared" si="128"/>
        <v>14</v>
      </c>
      <c r="R804" s="16">
        <f t="shared" si="129"/>
        <v>2.42767338118833</v>
      </c>
      <c r="S804" s="16">
        <v>59.7894736842105</v>
      </c>
    </row>
    <row r="805" spans="1:19">
      <c r="A805" s="5" t="s">
        <v>633</v>
      </c>
      <c r="B805" s="6">
        <v>95</v>
      </c>
      <c r="C805" s="6">
        <v>3.65</v>
      </c>
      <c r="D805" s="6">
        <v>1980</v>
      </c>
      <c r="E805" s="6">
        <v>350</v>
      </c>
      <c r="F805" s="6">
        <v>25</v>
      </c>
      <c r="G805" s="5" t="s">
        <v>20</v>
      </c>
      <c r="H805" s="6">
        <v>529</v>
      </c>
      <c r="I805" s="14">
        <f t="shared" si="120"/>
        <v>7088.21842466197</v>
      </c>
      <c r="J805" s="15">
        <f t="shared" si="121"/>
        <v>1047.49338450481</v>
      </c>
      <c r="K805" s="15">
        <f t="shared" si="122"/>
        <v>6040.72504015716</v>
      </c>
      <c r="L805" s="15">
        <f t="shared" si="123"/>
        <v>0.147779501385041</v>
      </c>
      <c r="M805" s="15">
        <f t="shared" si="124"/>
        <v>0.173405241513452</v>
      </c>
      <c r="N805" s="16">
        <f t="shared" si="125"/>
        <v>26.027397260274</v>
      </c>
      <c r="O805" s="16">
        <f t="shared" si="126"/>
        <v>366622.684576684</v>
      </c>
      <c r="P805" s="16">
        <f t="shared" si="127"/>
        <v>151018.126003929</v>
      </c>
      <c r="Q805" s="16">
        <f t="shared" si="128"/>
        <v>14</v>
      </c>
      <c r="R805" s="16">
        <f t="shared" si="129"/>
        <v>2.42767338118833</v>
      </c>
      <c r="S805" s="16">
        <v>83.3684210526316</v>
      </c>
    </row>
    <row r="806" spans="1:19">
      <c r="A806" s="5" t="s">
        <v>634</v>
      </c>
      <c r="B806" s="6">
        <v>165</v>
      </c>
      <c r="C806" s="6">
        <v>4.3</v>
      </c>
      <c r="D806" s="6">
        <v>2440</v>
      </c>
      <c r="E806" s="6">
        <v>317.7</v>
      </c>
      <c r="F806" s="6">
        <v>43.3</v>
      </c>
      <c r="G806" s="5" t="s">
        <v>20</v>
      </c>
      <c r="H806" s="6">
        <v>1149</v>
      </c>
      <c r="I806" s="14">
        <f t="shared" si="120"/>
        <v>21382.4649984955</v>
      </c>
      <c r="J806" s="15">
        <f t="shared" si="121"/>
        <v>2170.87193955708</v>
      </c>
      <c r="K806" s="15">
        <f t="shared" si="122"/>
        <v>19211.5930589384</v>
      </c>
      <c r="L806" s="15">
        <f t="shared" si="123"/>
        <v>0.10152580348944</v>
      </c>
      <c r="M806" s="15">
        <f t="shared" si="124"/>
        <v>0.112998018066339</v>
      </c>
      <c r="N806" s="16">
        <f t="shared" si="125"/>
        <v>38.3720930232558</v>
      </c>
      <c r="O806" s="16">
        <f t="shared" si="126"/>
        <v>689686.015197285</v>
      </c>
      <c r="P806" s="16">
        <f t="shared" si="127"/>
        <v>831861.979452035</v>
      </c>
      <c r="Q806" s="16">
        <f t="shared" si="128"/>
        <v>7.33718244803695</v>
      </c>
      <c r="R806" s="16">
        <f t="shared" si="129"/>
        <v>0.829087074819305</v>
      </c>
      <c r="S806" s="16">
        <v>59.1515151515151</v>
      </c>
    </row>
    <row r="807" spans="1:19">
      <c r="A807" s="5" t="s">
        <v>635</v>
      </c>
      <c r="B807" s="6">
        <v>160</v>
      </c>
      <c r="C807" s="6">
        <v>4.5</v>
      </c>
      <c r="D807" s="6">
        <v>2420</v>
      </c>
      <c r="E807" s="6">
        <v>317.7</v>
      </c>
      <c r="F807" s="6">
        <v>43.3</v>
      </c>
      <c r="G807" s="5" t="s">
        <v>20</v>
      </c>
      <c r="H807" s="6">
        <v>1561</v>
      </c>
      <c r="I807" s="14">
        <f t="shared" si="120"/>
        <v>20106.1929829747</v>
      </c>
      <c r="J807" s="15">
        <f t="shared" si="121"/>
        <v>2198.32945934946</v>
      </c>
      <c r="K807" s="15">
        <f t="shared" si="122"/>
        <v>17907.8635236252</v>
      </c>
      <c r="L807" s="15">
        <f t="shared" si="123"/>
        <v>0.1093359375</v>
      </c>
      <c r="M807" s="15">
        <f t="shared" si="124"/>
        <v>0.122757773781852</v>
      </c>
      <c r="N807" s="16">
        <f t="shared" si="125"/>
        <v>35.5555555555556</v>
      </c>
      <c r="O807" s="16">
        <f t="shared" si="126"/>
        <v>698409.269235323</v>
      </c>
      <c r="P807" s="16">
        <f t="shared" si="127"/>
        <v>775410.490572972</v>
      </c>
      <c r="Q807" s="16">
        <f t="shared" si="128"/>
        <v>7.33718244803695</v>
      </c>
      <c r="R807" s="16">
        <f t="shared" si="129"/>
        <v>0.900696183152293</v>
      </c>
      <c r="S807" s="16">
        <v>60.5</v>
      </c>
    </row>
    <row r="808" spans="1:19">
      <c r="A808" s="5" t="s">
        <v>636</v>
      </c>
      <c r="B808" s="6">
        <v>165</v>
      </c>
      <c r="C808" s="6">
        <v>4.3</v>
      </c>
      <c r="D808" s="6">
        <v>3640</v>
      </c>
      <c r="E808" s="6">
        <v>317.7</v>
      </c>
      <c r="F808" s="6">
        <v>43.3</v>
      </c>
      <c r="G808" s="5" t="s">
        <v>20</v>
      </c>
      <c r="H808" s="6">
        <v>987</v>
      </c>
      <c r="I808" s="14">
        <f t="shared" si="120"/>
        <v>21382.4649984955</v>
      </c>
      <c r="J808" s="15">
        <f t="shared" si="121"/>
        <v>2170.87193955708</v>
      </c>
      <c r="K808" s="15">
        <f t="shared" si="122"/>
        <v>19211.5930589384</v>
      </c>
      <c r="L808" s="15">
        <f t="shared" si="123"/>
        <v>0.10152580348944</v>
      </c>
      <c r="M808" s="15">
        <f t="shared" si="124"/>
        <v>0.112998018066339</v>
      </c>
      <c r="N808" s="16">
        <f t="shared" si="125"/>
        <v>38.3720930232558</v>
      </c>
      <c r="O808" s="16">
        <f t="shared" si="126"/>
        <v>689686.015197285</v>
      </c>
      <c r="P808" s="16">
        <f t="shared" si="127"/>
        <v>831861.979452035</v>
      </c>
      <c r="Q808" s="16">
        <f t="shared" si="128"/>
        <v>7.33718244803695</v>
      </c>
      <c r="R808" s="16">
        <f t="shared" si="129"/>
        <v>0.829087074819305</v>
      </c>
      <c r="S808" s="16">
        <v>88.2424242424242</v>
      </c>
    </row>
    <row r="809" spans="1:19">
      <c r="A809" s="5" t="s">
        <v>637</v>
      </c>
      <c r="B809" s="6">
        <v>190.7</v>
      </c>
      <c r="C809" s="6">
        <v>6</v>
      </c>
      <c r="D809" s="6">
        <v>1150</v>
      </c>
      <c r="E809" s="6">
        <v>505</v>
      </c>
      <c r="F809" s="6">
        <v>55.9</v>
      </c>
      <c r="G809" s="5" t="s">
        <v>20</v>
      </c>
      <c r="H809" s="6">
        <v>3064</v>
      </c>
      <c r="I809" s="14">
        <f t="shared" si="120"/>
        <v>28562.1744552117</v>
      </c>
      <c r="J809" s="15">
        <f t="shared" si="121"/>
        <v>3481.51297870821</v>
      </c>
      <c r="K809" s="15">
        <f t="shared" si="122"/>
        <v>25080.6614765035</v>
      </c>
      <c r="L809" s="15">
        <f t="shared" si="123"/>
        <v>0.121892434491203</v>
      </c>
      <c r="M809" s="15">
        <f t="shared" si="124"/>
        <v>0.13881264582953</v>
      </c>
      <c r="N809" s="16">
        <f t="shared" si="125"/>
        <v>31.7833333333333</v>
      </c>
      <c r="O809" s="16">
        <f t="shared" si="126"/>
        <v>1758164.05424765</v>
      </c>
      <c r="P809" s="16">
        <f t="shared" si="127"/>
        <v>1402008.97653654</v>
      </c>
      <c r="Q809" s="16">
        <f t="shared" si="128"/>
        <v>9.03398926654741</v>
      </c>
      <c r="R809" s="16">
        <f t="shared" si="129"/>
        <v>1.25403195248502</v>
      </c>
      <c r="S809" s="16">
        <v>24.1216570529628</v>
      </c>
    </row>
    <row r="810" spans="1:19">
      <c r="A810" s="5" t="s">
        <v>638</v>
      </c>
      <c r="B810" s="6">
        <v>190.7</v>
      </c>
      <c r="C810" s="6">
        <v>6</v>
      </c>
      <c r="D810" s="6">
        <v>2300</v>
      </c>
      <c r="E810" s="6">
        <v>505</v>
      </c>
      <c r="F810" s="6">
        <v>55.9</v>
      </c>
      <c r="G810" s="5" t="s">
        <v>20</v>
      </c>
      <c r="H810" s="6">
        <v>2610</v>
      </c>
      <c r="I810" s="14">
        <f t="shared" si="120"/>
        <v>28562.1744552117</v>
      </c>
      <c r="J810" s="15">
        <f t="shared" si="121"/>
        <v>3481.51297870821</v>
      </c>
      <c r="K810" s="15">
        <f t="shared" si="122"/>
        <v>25080.6614765035</v>
      </c>
      <c r="L810" s="15">
        <f t="shared" si="123"/>
        <v>0.121892434491203</v>
      </c>
      <c r="M810" s="15">
        <f t="shared" si="124"/>
        <v>0.13881264582953</v>
      </c>
      <c r="N810" s="16">
        <f t="shared" si="125"/>
        <v>31.7833333333333</v>
      </c>
      <c r="O810" s="16">
        <f t="shared" si="126"/>
        <v>1758164.05424765</v>
      </c>
      <c r="P810" s="16">
        <f t="shared" si="127"/>
        <v>1402008.97653654</v>
      </c>
      <c r="Q810" s="16">
        <f t="shared" si="128"/>
        <v>9.03398926654741</v>
      </c>
      <c r="R810" s="16">
        <f t="shared" si="129"/>
        <v>1.25403195248502</v>
      </c>
      <c r="S810" s="16">
        <v>48.2433141059255</v>
      </c>
    </row>
    <row r="811" spans="1:19">
      <c r="A811" s="5" t="s">
        <v>639</v>
      </c>
      <c r="B811" s="6">
        <v>190.7</v>
      </c>
      <c r="C811" s="6">
        <v>6</v>
      </c>
      <c r="D811" s="6">
        <v>2450</v>
      </c>
      <c r="E811" s="6">
        <v>505</v>
      </c>
      <c r="F811" s="6">
        <v>55.9</v>
      </c>
      <c r="G811" s="5" t="s">
        <v>20</v>
      </c>
      <c r="H811" s="6">
        <v>2060</v>
      </c>
      <c r="I811" s="14">
        <f t="shared" si="120"/>
        <v>28562.1744552117</v>
      </c>
      <c r="J811" s="15">
        <f t="shared" si="121"/>
        <v>3481.51297870821</v>
      </c>
      <c r="K811" s="15">
        <f t="shared" si="122"/>
        <v>25080.6614765035</v>
      </c>
      <c r="L811" s="15">
        <f t="shared" si="123"/>
        <v>0.121892434491203</v>
      </c>
      <c r="M811" s="15">
        <f t="shared" si="124"/>
        <v>0.13881264582953</v>
      </c>
      <c r="N811" s="16">
        <f t="shared" si="125"/>
        <v>31.7833333333333</v>
      </c>
      <c r="O811" s="16">
        <f t="shared" si="126"/>
        <v>1758164.05424765</v>
      </c>
      <c r="P811" s="16">
        <f t="shared" si="127"/>
        <v>1402008.97653654</v>
      </c>
      <c r="Q811" s="16">
        <f t="shared" si="128"/>
        <v>9.03398926654741</v>
      </c>
      <c r="R811" s="16">
        <f t="shared" si="129"/>
        <v>1.25403195248502</v>
      </c>
      <c r="S811" s="16">
        <v>51.3896171997903</v>
      </c>
    </row>
    <row r="812" spans="1:19">
      <c r="A812" s="5" t="s">
        <v>640</v>
      </c>
      <c r="B812" s="6">
        <v>190.7</v>
      </c>
      <c r="C812" s="6">
        <v>6</v>
      </c>
      <c r="D812" s="6">
        <v>1150</v>
      </c>
      <c r="E812" s="6">
        <v>505</v>
      </c>
      <c r="F812" s="6">
        <v>48.4</v>
      </c>
      <c r="G812" s="5" t="s">
        <v>20</v>
      </c>
      <c r="H812" s="6">
        <v>3150</v>
      </c>
      <c r="I812" s="14">
        <f t="shared" si="120"/>
        <v>28562.1744552117</v>
      </c>
      <c r="J812" s="15">
        <f t="shared" si="121"/>
        <v>3481.51297870821</v>
      </c>
      <c r="K812" s="15">
        <f t="shared" si="122"/>
        <v>25080.6614765035</v>
      </c>
      <c r="L812" s="15">
        <f t="shared" si="123"/>
        <v>0.121892434491203</v>
      </c>
      <c r="M812" s="15">
        <f t="shared" si="124"/>
        <v>0.13881264582953</v>
      </c>
      <c r="N812" s="16">
        <f t="shared" si="125"/>
        <v>31.7833333333333</v>
      </c>
      <c r="O812" s="16">
        <f t="shared" si="126"/>
        <v>1758164.05424765</v>
      </c>
      <c r="P812" s="16">
        <f t="shared" si="127"/>
        <v>1213904.01546277</v>
      </c>
      <c r="Q812" s="16">
        <f t="shared" si="128"/>
        <v>10.4338842975207</v>
      </c>
      <c r="R812" s="16">
        <f t="shared" si="129"/>
        <v>1.44835508561803</v>
      </c>
      <c r="S812" s="16">
        <v>24.1216570529628</v>
      </c>
    </row>
    <row r="813" spans="1:19">
      <c r="A813" s="5" t="s">
        <v>641</v>
      </c>
      <c r="B813" s="6">
        <v>190.7</v>
      </c>
      <c r="C813" s="6">
        <v>6</v>
      </c>
      <c r="D813" s="6">
        <v>3450</v>
      </c>
      <c r="E813" s="6">
        <v>505</v>
      </c>
      <c r="F813" s="6">
        <v>48.4</v>
      </c>
      <c r="G813" s="5" t="s">
        <v>20</v>
      </c>
      <c r="H813" s="6">
        <v>2130</v>
      </c>
      <c r="I813" s="14">
        <f t="shared" si="120"/>
        <v>28562.1744552117</v>
      </c>
      <c r="J813" s="15">
        <f t="shared" si="121"/>
        <v>3481.51297870821</v>
      </c>
      <c r="K813" s="15">
        <f t="shared" si="122"/>
        <v>25080.6614765035</v>
      </c>
      <c r="L813" s="15">
        <f t="shared" si="123"/>
        <v>0.121892434491203</v>
      </c>
      <c r="M813" s="15">
        <f t="shared" si="124"/>
        <v>0.13881264582953</v>
      </c>
      <c r="N813" s="16">
        <f t="shared" si="125"/>
        <v>31.7833333333333</v>
      </c>
      <c r="O813" s="16">
        <f t="shared" si="126"/>
        <v>1758164.05424765</v>
      </c>
      <c r="P813" s="16">
        <f t="shared" si="127"/>
        <v>1213904.01546277</v>
      </c>
      <c r="Q813" s="16">
        <f t="shared" si="128"/>
        <v>10.4338842975207</v>
      </c>
      <c r="R813" s="16">
        <f t="shared" si="129"/>
        <v>1.44835508561803</v>
      </c>
      <c r="S813" s="16">
        <v>72.3649711588883</v>
      </c>
    </row>
    <row r="814" spans="1:19">
      <c r="A814" s="5" t="s">
        <v>642</v>
      </c>
      <c r="B814" s="6">
        <v>267.4</v>
      </c>
      <c r="C814" s="6">
        <v>7</v>
      </c>
      <c r="D814" s="6">
        <v>1600</v>
      </c>
      <c r="E814" s="6">
        <v>461</v>
      </c>
      <c r="F814" s="6">
        <v>55.9</v>
      </c>
      <c r="G814" s="5" t="s">
        <v>20</v>
      </c>
      <c r="H814" s="6">
        <v>5180</v>
      </c>
      <c r="I814" s="14">
        <f t="shared" si="120"/>
        <v>56158.1363818485</v>
      </c>
      <c r="J814" s="15">
        <f t="shared" si="121"/>
        <v>5726.49508896348</v>
      </c>
      <c r="K814" s="15">
        <f t="shared" si="122"/>
        <v>50431.641292885</v>
      </c>
      <c r="L814" s="15">
        <f t="shared" si="123"/>
        <v>0.101970888955895</v>
      </c>
      <c r="M814" s="15">
        <f t="shared" si="124"/>
        <v>0.113549647446659</v>
      </c>
      <c r="N814" s="16">
        <f t="shared" si="125"/>
        <v>38.2</v>
      </c>
      <c r="O814" s="16">
        <f t="shared" si="126"/>
        <v>2639914.23601216</v>
      </c>
      <c r="P814" s="16">
        <f t="shared" si="127"/>
        <v>2819128.74827227</v>
      </c>
      <c r="Q814" s="16">
        <f t="shared" si="128"/>
        <v>8.24686940966011</v>
      </c>
      <c r="R814" s="16">
        <f t="shared" si="129"/>
        <v>0.936429114005544</v>
      </c>
      <c r="S814" s="16">
        <v>23.9341810022438</v>
      </c>
    </row>
    <row r="815" spans="1:19">
      <c r="A815" s="5" t="s">
        <v>643</v>
      </c>
      <c r="B815" s="6">
        <v>267.4</v>
      </c>
      <c r="C815" s="6">
        <v>7</v>
      </c>
      <c r="D815" s="6">
        <v>3200</v>
      </c>
      <c r="E815" s="6">
        <v>461</v>
      </c>
      <c r="F815" s="6">
        <v>55.9</v>
      </c>
      <c r="G815" s="5" t="s">
        <v>20</v>
      </c>
      <c r="H815" s="6">
        <v>4540</v>
      </c>
      <c r="I815" s="14">
        <f t="shared" si="120"/>
        <v>56158.1363818485</v>
      </c>
      <c r="J815" s="15">
        <f t="shared" si="121"/>
        <v>5726.49508896348</v>
      </c>
      <c r="K815" s="15">
        <f t="shared" si="122"/>
        <v>50431.641292885</v>
      </c>
      <c r="L815" s="15">
        <f t="shared" si="123"/>
        <v>0.101970888955895</v>
      </c>
      <c r="M815" s="15">
        <f t="shared" si="124"/>
        <v>0.113549647446659</v>
      </c>
      <c r="N815" s="16">
        <f t="shared" si="125"/>
        <v>38.2</v>
      </c>
      <c r="O815" s="16">
        <f t="shared" si="126"/>
        <v>2639914.23601216</v>
      </c>
      <c r="P815" s="16">
        <f t="shared" si="127"/>
        <v>2819128.74827227</v>
      </c>
      <c r="Q815" s="16">
        <f t="shared" si="128"/>
        <v>8.24686940966011</v>
      </c>
      <c r="R815" s="16">
        <f t="shared" si="129"/>
        <v>0.936429114005544</v>
      </c>
      <c r="S815" s="16">
        <v>47.8683620044877</v>
      </c>
    </row>
    <row r="816" spans="1:19">
      <c r="A816" s="5" t="s">
        <v>644</v>
      </c>
      <c r="B816" s="6">
        <v>267.4</v>
      </c>
      <c r="C816" s="6">
        <v>7</v>
      </c>
      <c r="D816" s="6">
        <v>4800</v>
      </c>
      <c r="E816" s="6">
        <v>461</v>
      </c>
      <c r="F816" s="6">
        <v>55.9</v>
      </c>
      <c r="G816" s="5" t="s">
        <v>20</v>
      </c>
      <c r="H816" s="6">
        <v>3630</v>
      </c>
      <c r="I816" s="14">
        <f t="shared" si="120"/>
        <v>56158.1363818485</v>
      </c>
      <c r="J816" s="15">
        <f t="shared" si="121"/>
        <v>5726.49508896348</v>
      </c>
      <c r="K816" s="15">
        <f t="shared" si="122"/>
        <v>50431.641292885</v>
      </c>
      <c r="L816" s="15">
        <f t="shared" si="123"/>
        <v>0.101970888955895</v>
      </c>
      <c r="M816" s="15">
        <f t="shared" si="124"/>
        <v>0.113549647446659</v>
      </c>
      <c r="N816" s="16">
        <f t="shared" si="125"/>
        <v>38.2</v>
      </c>
      <c r="O816" s="16">
        <f t="shared" si="126"/>
        <v>2639914.23601216</v>
      </c>
      <c r="P816" s="16">
        <f t="shared" si="127"/>
        <v>2819128.74827227</v>
      </c>
      <c r="Q816" s="16">
        <f t="shared" si="128"/>
        <v>8.24686940966011</v>
      </c>
      <c r="R816" s="16">
        <f t="shared" si="129"/>
        <v>0.936429114005544</v>
      </c>
      <c r="S816" s="16">
        <v>71.8025430067315</v>
      </c>
    </row>
    <row r="817" spans="1:19">
      <c r="A817" s="5" t="s">
        <v>645</v>
      </c>
      <c r="B817" s="6">
        <v>267.4</v>
      </c>
      <c r="C817" s="6">
        <v>7</v>
      </c>
      <c r="D817" s="6">
        <v>1600</v>
      </c>
      <c r="E817" s="6">
        <v>461</v>
      </c>
      <c r="F817" s="6">
        <v>48.4</v>
      </c>
      <c r="G817" s="5" t="s">
        <v>20</v>
      </c>
      <c r="H817" s="6">
        <v>5190</v>
      </c>
      <c r="I817" s="14">
        <f t="shared" si="120"/>
        <v>56158.1363818485</v>
      </c>
      <c r="J817" s="15">
        <f t="shared" si="121"/>
        <v>5726.49508896348</v>
      </c>
      <c r="K817" s="15">
        <f t="shared" si="122"/>
        <v>50431.641292885</v>
      </c>
      <c r="L817" s="15">
        <f t="shared" si="123"/>
        <v>0.101970888955895</v>
      </c>
      <c r="M817" s="15">
        <f t="shared" si="124"/>
        <v>0.113549647446659</v>
      </c>
      <c r="N817" s="16">
        <f t="shared" si="125"/>
        <v>38.2</v>
      </c>
      <c r="O817" s="16">
        <f t="shared" si="126"/>
        <v>2639914.23601216</v>
      </c>
      <c r="P817" s="16">
        <f t="shared" si="127"/>
        <v>2440891.43857564</v>
      </c>
      <c r="Q817" s="16">
        <f t="shared" si="128"/>
        <v>9.52479338842975</v>
      </c>
      <c r="R817" s="16">
        <f t="shared" si="129"/>
        <v>1.08153693125847</v>
      </c>
      <c r="S817" s="16">
        <v>23.9341810022438</v>
      </c>
    </row>
    <row r="818" spans="1:19">
      <c r="A818" s="5" t="s">
        <v>646</v>
      </c>
      <c r="B818" s="6">
        <v>267.4</v>
      </c>
      <c r="C818" s="6">
        <v>7</v>
      </c>
      <c r="D818" s="6">
        <v>4800</v>
      </c>
      <c r="E818" s="6">
        <v>461</v>
      </c>
      <c r="F818" s="6">
        <v>48.4</v>
      </c>
      <c r="G818" s="5" t="s">
        <v>20</v>
      </c>
      <c r="H818" s="6">
        <v>3900</v>
      </c>
      <c r="I818" s="14">
        <f t="shared" si="120"/>
        <v>56158.1363818485</v>
      </c>
      <c r="J818" s="15">
        <f t="shared" si="121"/>
        <v>5726.49508896348</v>
      </c>
      <c r="K818" s="15">
        <f t="shared" si="122"/>
        <v>50431.641292885</v>
      </c>
      <c r="L818" s="15">
        <f t="shared" si="123"/>
        <v>0.101970888955895</v>
      </c>
      <c r="M818" s="15">
        <f t="shared" si="124"/>
        <v>0.113549647446659</v>
      </c>
      <c r="N818" s="16">
        <f t="shared" si="125"/>
        <v>38.2</v>
      </c>
      <c r="O818" s="16">
        <f t="shared" si="126"/>
        <v>2639914.23601216</v>
      </c>
      <c r="P818" s="16">
        <f t="shared" si="127"/>
        <v>2440891.43857564</v>
      </c>
      <c r="Q818" s="16">
        <f t="shared" si="128"/>
        <v>9.52479338842975</v>
      </c>
      <c r="R818" s="16">
        <f t="shared" si="129"/>
        <v>1.08153693125847</v>
      </c>
      <c r="S818" s="16">
        <v>71.8025430067315</v>
      </c>
    </row>
    <row r="819" spans="1:19">
      <c r="A819" s="5" t="s">
        <v>647</v>
      </c>
      <c r="B819" s="6">
        <v>166</v>
      </c>
      <c r="C819" s="6">
        <v>5</v>
      </c>
      <c r="D819" s="6">
        <v>1100</v>
      </c>
      <c r="E819" s="6">
        <v>274.4</v>
      </c>
      <c r="F819" s="6">
        <v>29.62</v>
      </c>
      <c r="G819" s="5" t="s">
        <v>20</v>
      </c>
      <c r="H819" s="6">
        <v>1985</v>
      </c>
      <c r="I819" s="14">
        <f t="shared" si="120"/>
        <v>21642.4317905801</v>
      </c>
      <c r="J819" s="15">
        <f t="shared" si="121"/>
        <v>2528.98208613978</v>
      </c>
      <c r="K819" s="15">
        <f t="shared" si="122"/>
        <v>19113.4497044403</v>
      </c>
      <c r="L819" s="15">
        <f t="shared" si="123"/>
        <v>0.116852953984613</v>
      </c>
      <c r="M819" s="15">
        <f t="shared" si="124"/>
        <v>0.132314266929652</v>
      </c>
      <c r="N819" s="16">
        <f t="shared" si="125"/>
        <v>33.2</v>
      </c>
      <c r="O819" s="16">
        <f t="shared" si="126"/>
        <v>693952.684436757</v>
      </c>
      <c r="P819" s="16">
        <f t="shared" si="127"/>
        <v>566140.380245522</v>
      </c>
      <c r="Q819" s="16">
        <f t="shared" si="128"/>
        <v>9.26401080351114</v>
      </c>
      <c r="R819" s="16">
        <f t="shared" si="129"/>
        <v>1.22576079829495</v>
      </c>
      <c r="S819" s="16">
        <v>26.5060240963855</v>
      </c>
    </row>
    <row r="820" spans="1:19">
      <c r="A820" s="5" t="s">
        <v>131</v>
      </c>
      <c r="B820" s="6">
        <v>166</v>
      </c>
      <c r="C820" s="6">
        <v>5</v>
      </c>
      <c r="D820" s="6">
        <v>870</v>
      </c>
      <c r="E820" s="6">
        <v>313.6</v>
      </c>
      <c r="F820" s="6">
        <v>42.24</v>
      </c>
      <c r="G820" s="5" t="s">
        <v>20</v>
      </c>
      <c r="H820" s="6">
        <v>1827.7</v>
      </c>
      <c r="I820" s="14">
        <f t="shared" si="120"/>
        <v>21642.4317905801</v>
      </c>
      <c r="J820" s="15">
        <f t="shared" si="121"/>
        <v>2528.98208613978</v>
      </c>
      <c r="K820" s="15">
        <f t="shared" si="122"/>
        <v>19113.4497044403</v>
      </c>
      <c r="L820" s="15">
        <f t="shared" si="123"/>
        <v>0.116852953984613</v>
      </c>
      <c r="M820" s="15">
        <f t="shared" si="124"/>
        <v>0.132314266929652</v>
      </c>
      <c r="N820" s="16">
        <f t="shared" si="125"/>
        <v>33.2</v>
      </c>
      <c r="O820" s="16">
        <f t="shared" si="126"/>
        <v>793088.782213436</v>
      </c>
      <c r="P820" s="16">
        <f t="shared" si="127"/>
        <v>807352.115515558</v>
      </c>
      <c r="Q820" s="16">
        <f t="shared" si="128"/>
        <v>7.42424242424242</v>
      </c>
      <c r="R820" s="16">
        <f t="shared" si="129"/>
        <v>0.982333193871655</v>
      </c>
      <c r="S820" s="16">
        <v>20.9638554216867</v>
      </c>
    </row>
    <row r="821" spans="1:19">
      <c r="A821" s="5" t="s">
        <v>438</v>
      </c>
      <c r="B821" s="6">
        <v>166</v>
      </c>
      <c r="C821" s="6">
        <v>5</v>
      </c>
      <c r="D821" s="6">
        <v>870</v>
      </c>
      <c r="E821" s="6">
        <v>284.2</v>
      </c>
      <c r="F821" s="6">
        <v>42.24</v>
      </c>
      <c r="G821" s="5" t="s">
        <v>20</v>
      </c>
      <c r="H821" s="6">
        <v>1862</v>
      </c>
      <c r="I821" s="14">
        <f t="shared" si="120"/>
        <v>21642.4317905801</v>
      </c>
      <c r="J821" s="15">
        <f t="shared" si="121"/>
        <v>2528.98208613978</v>
      </c>
      <c r="K821" s="15">
        <f t="shared" si="122"/>
        <v>19113.4497044403</v>
      </c>
      <c r="L821" s="15">
        <f t="shared" si="123"/>
        <v>0.116852953984613</v>
      </c>
      <c r="M821" s="15">
        <f t="shared" si="124"/>
        <v>0.132314266929652</v>
      </c>
      <c r="N821" s="16">
        <f t="shared" si="125"/>
        <v>33.2</v>
      </c>
      <c r="O821" s="16">
        <f t="shared" si="126"/>
        <v>718736.708880926</v>
      </c>
      <c r="P821" s="16">
        <f t="shared" si="127"/>
        <v>807352.115515558</v>
      </c>
      <c r="Q821" s="16">
        <f t="shared" si="128"/>
        <v>6.7282196969697</v>
      </c>
      <c r="R821" s="16">
        <f t="shared" si="129"/>
        <v>0.890239456946188</v>
      </c>
      <c r="S821" s="16">
        <v>20.9638554216867</v>
      </c>
    </row>
    <row r="822" spans="1:19">
      <c r="A822" s="5" t="s">
        <v>439</v>
      </c>
      <c r="B822" s="6">
        <v>166</v>
      </c>
      <c r="C822" s="6">
        <v>5</v>
      </c>
      <c r="D822" s="6">
        <v>1700</v>
      </c>
      <c r="E822" s="6">
        <v>294</v>
      </c>
      <c r="F822" s="6">
        <v>42.24</v>
      </c>
      <c r="G822" s="5" t="s">
        <v>20</v>
      </c>
      <c r="H822" s="6">
        <v>1543.5</v>
      </c>
      <c r="I822" s="14">
        <f t="shared" si="120"/>
        <v>21642.4317905801</v>
      </c>
      <c r="J822" s="15">
        <f t="shared" si="121"/>
        <v>2528.98208613978</v>
      </c>
      <c r="K822" s="15">
        <f t="shared" si="122"/>
        <v>19113.4497044403</v>
      </c>
      <c r="L822" s="15">
        <f t="shared" si="123"/>
        <v>0.116852953984613</v>
      </c>
      <c r="M822" s="15">
        <f t="shared" si="124"/>
        <v>0.132314266929652</v>
      </c>
      <c r="N822" s="16">
        <f t="shared" si="125"/>
        <v>33.2</v>
      </c>
      <c r="O822" s="16">
        <f t="shared" si="126"/>
        <v>743520.733325096</v>
      </c>
      <c r="P822" s="16">
        <f t="shared" si="127"/>
        <v>807352.115515558</v>
      </c>
      <c r="Q822" s="16">
        <f t="shared" si="128"/>
        <v>6.96022727272727</v>
      </c>
      <c r="R822" s="16">
        <f t="shared" si="129"/>
        <v>0.920937369254677</v>
      </c>
      <c r="S822" s="16">
        <v>40.9638554216867</v>
      </c>
    </row>
    <row r="823" spans="1:19">
      <c r="A823" s="5" t="s">
        <v>440</v>
      </c>
      <c r="B823" s="6">
        <v>166</v>
      </c>
      <c r="C823" s="6">
        <v>5</v>
      </c>
      <c r="D823" s="6">
        <v>1700</v>
      </c>
      <c r="E823" s="6">
        <v>313.6</v>
      </c>
      <c r="F823" s="6">
        <v>42.24</v>
      </c>
      <c r="G823" s="5" t="s">
        <v>20</v>
      </c>
      <c r="H823" s="6">
        <v>1460.2</v>
      </c>
      <c r="I823" s="14">
        <f t="shared" si="120"/>
        <v>21642.4317905801</v>
      </c>
      <c r="J823" s="15">
        <f t="shared" si="121"/>
        <v>2528.98208613978</v>
      </c>
      <c r="K823" s="15">
        <f t="shared" si="122"/>
        <v>19113.4497044403</v>
      </c>
      <c r="L823" s="15">
        <f t="shared" si="123"/>
        <v>0.116852953984613</v>
      </c>
      <c r="M823" s="15">
        <f t="shared" si="124"/>
        <v>0.132314266929652</v>
      </c>
      <c r="N823" s="16">
        <f t="shared" si="125"/>
        <v>33.2</v>
      </c>
      <c r="O823" s="16">
        <f t="shared" si="126"/>
        <v>793088.782213436</v>
      </c>
      <c r="P823" s="16">
        <f t="shared" si="127"/>
        <v>807352.115515558</v>
      </c>
      <c r="Q823" s="16">
        <f t="shared" si="128"/>
        <v>7.42424242424242</v>
      </c>
      <c r="R823" s="16">
        <f t="shared" si="129"/>
        <v>0.982333193871655</v>
      </c>
      <c r="S823" s="16">
        <v>40.9638554216867</v>
      </c>
    </row>
    <row r="824" spans="1:19">
      <c r="A824" s="5" t="s">
        <v>561</v>
      </c>
      <c r="B824" s="6">
        <v>166</v>
      </c>
      <c r="C824" s="6">
        <v>5</v>
      </c>
      <c r="D824" s="6">
        <v>2700</v>
      </c>
      <c r="E824" s="6">
        <v>289.1</v>
      </c>
      <c r="F824" s="6">
        <v>28.09</v>
      </c>
      <c r="G824" s="5" t="s">
        <v>20</v>
      </c>
      <c r="H824" s="6">
        <v>1117.2</v>
      </c>
      <c r="I824" s="14">
        <f t="shared" si="120"/>
        <v>21642.4317905801</v>
      </c>
      <c r="J824" s="15">
        <f t="shared" si="121"/>
        <v>2528.98208613978</v>
      </c>
      <c r="K824" s="15">
        <f t="shared" si="122"/>
        <v>19113.4497044403</v>
      </c>
      <c r="L824" s="15">
        <f t="shared" si="123"/>
        <v>0.116852953984613</v>
      </c>
      <c r="M824" s="15">
        <f t="shared" si="124"/>
        <v>0.132314266929652</v>
      </c>
      <c r="N824" s="16">
        <f t="shared" si="125"/>
        <v>33.2</v>
      </c>
      <c r="O824" s="16">
        <f t="shared" si="126"/>
        <v>731128.721103011</v>
      </c>
      <c r="P824" s="16">
        <f t="shared" si="127"/>
        <v>536896.802197728</v>
      </c>
      <c r="Q824" s="16">
        <f t="shared" si="128"/>
        <v>10.2919188323247</v>
      </c>
      <c r="R824" s="16">
        <f t="shared" si="129"/>
        <v>1.36176769559851</v>
      </c>
      <c r="S824" s="16">
        <v>65.0602409638554</v>
      </c>
    </row>
    <row r="825" spans="1:19">
      <c r="A825" s="5" t="s">
        <v>562</v>
      </c>
      <c r="B825" s="6">
        <v>166</v>
      </c>
      <c r="C825" s="6">
        <v>5</v>
      </c>
      <c r="D825" s="6">
        <v>2700</v>
      </c>
      <c r="E825" s="6">
        <v>289.1</v>
      </c>
      <c r="F825" s="6">
        <v>28.09</v>
      </c>
      <c r="G825" s="5" t="s">
        <v>20</v>
      </c>
      <c r="H825" s="6">
        <v>1271.06</v>
      </c>
      <c r="I825" s="14">
        <f t="shared" si="120"/>
        <v>21642.4317905801</v>
      </c>
      <c r="J825" s="15">
        <f t="shared" si="121"/>
        <v>2528.98208613978</v>
      </c>
      <c r="K825" s="15">
        <f t="shared" si="122"/>
        <v>19113.4497044403</v>
      </c>
      <c r="L825" s="15">
        <f t="shared" si="123"/>
        <v>0.116852953984613</v>
      </c>
      <c r="M825" s="15">
        <f t="shared" si="124"/>
        <v>0.132314266929652</v>
      </c>
      <c r="N825" s="16">
        <f t="shared" si="125"/>
        <v>33.2</v>
      </c>
      <c r="O825" s="16">
        <f t="shared" si="126"/>
        <v>731128.721103011</v>
      </c>
      <c r="P825" s="16">
        <f t="shared" si="127"/>
        <v>536896.802197728</v>
      </c>
      <c r="Q825" s="16">
        <f t="shared" si="128"/>
        <v>10.2919188323247</v>
      </c>
      <c r="R825" s="16">
        <f t="shared" si="129"/>
        <v>1.36176769559851</v>
      </c>
      <c r="S825" s="16">
        <v>65.0602409638554</v>
      </c>
    </row>
    <row r="826" s="2" customFormat="1" spans="1:19">
      <c r="A826" s="5" t="s">
        <v>441</v>
      </c>
      <c r="B826" s="6">
        <v>166</v>
      </c>
      <c r="C826" s="6">
        <v>5</v>
      </c>
      <c r="D826" s="6">
        <v>3700</v>
      </c>
      <c r="E826" s="6">
        <v>287.14</v>
      </c>
      <c r="F826" s="6">
        <v>28.09</v>
      </c>
      <c r="G826" s="5" t="s">
        <v>20</v>
      </c>
      <c r="H826" s="6">
        <v>983.92</v>
      </c>
      <c r="I826" s="14">
        <f t="shared" si="120"/>
        <v>21642.4317905801</v>
      </c>
      <c r="J826" s="15">
        <f t="shared" si="121"/>
        <v>2528.98208613978</v>
      </c>
      <c r="K826" s="15">
        <f t="shared" si="122"/>
        <v>19113.4497044403</v>
      </c>
      <c r="L826" s="15">
        <f t="shared" si="123"/>
        <v>0.116852953984613</v>
      </c>
      <c r="M826" s="15">
        <f t="shared" si="124"/>
        <v>0.132314266929652</v>
      </c>
      <c r="N826" s="16">
        <f t="shared" si="125"/>
        <v>33.2</v>
      </c>
      <c r="O826" s="16">
        <f t="shared" si="126"/>
        <v>726171.916214177</v>
      </c>
      <c r="P826" s="16">
        <f t="shared" si="127"/>
        <v>536896.802197728</v>
      </c>
      <c r="Q826" s="16">
        <f t="shared" si="128"/>
        <v>10.2221431114276</v>
      </c>
      <c r="R826" s="16">
        <f t="shared" si="129"/>
        <v>1.35253537223852</v>
      </c>
      <c r="S826" s="16">
        <v>89.1566265060241</v>
      </c>
    </row>
    <row r="827" spans="1:19">
      <c r="A827" s="5" t="s">
        <v>442</v>
      </c>
      <c r="B827" s="6">
        <v>166</v>
      </c>
      <c r="C827" s="6">
        <v>5</v>
      </c>
      <c r="D827" s="6">
        <v>3700</v>
      </c>
      <c r="E827" s="6">
        <v>287.14</v>
      </c>
      <c r="F827" s="6">
        <v>28.09</v>
      </c>
      <c r="G827" s="5" t="s">
        <v>20</v>
      </c>
      <c r="H827" s="6">
        <v>958.44</v>
      </c>
      <c r="I827" s="14">
        <f t="shared" si="120"/>
        <v>21642.4317905801</v>
      </c>
      <c r="J827" s="15">
        <f t="shared" si="121"/>
        <v>2528.98208613978</v>
      </c>
      <c r="K827" s="15">
        <f t="shared" si="122"/>
        <v>19113.4497044403</v>
      </c>
      <c r="L827" s="15">
        <f t="shared" si="123"/>
        <v>0.116852953984613</v>
      </c>
      <c r="M827" s="15">
        <f t="shared" si="124"/>
        <v>0.132314266929652</v>
      </c>
      <c r="N827" s="16">
        <f t="shared" si="125"/>
        <v>33.2</v>
      </c>
      <c r="O827" s="16">
        <f t="shared" si="126"/>
        <v>726171.916214177</v>
      </c>
      <c r="P827" s="16">
        <f t="shared" si="127"/>
        <v>536896.802197728</v>
      </c>
      <c r="Q827" s="16">
        <f t="shared" si="128"/>
        <v>10.2221431114276</v>
      </c>
      <c r="R827" s="16">
        <f t="shared" si="129"/>
        <v>1.35253537223852</v>
      </c>
      <c r="S827" s="16">
        <v>89.1566265060241</v>
      </c>
    </row>
    <row r="828" spans="1:19">
      <c r="A828" s="5" t="s">
        <v>438</v>
      </c>
      <c r="B828" s="6">
        <v>108</v>
      </c>
      <c r="C828" s="6">
        <v>4</v>
      </c>
      <c r="D828" s="6">
        <v>648</v>
      </c>
      <c r="E828" s="6">
        <v>338.88</v>
      </c>
      <c r="F828" s="6">
        <v>28.99</v>
      </c>
      <c r="G828" s="5" t="s">
        <v>20</v>
      </c>
      <c r="H828" s="6">
        <v>825.16</v>
      </c>
      <c r="I828" s="14">
        <f t="shared" si="120"/>
        <v>9160.88417786784</v>
      </c>
      <c r="J828" s="15">
        <f t="shared" si="121"/>
        <v>1306.90254389335</v>
      </c>
      <c r="K828" s="15">
        <f t="shared" si="122"/>
        <v>7853.98163397448</v>
      </c>
      <c r="L828" s="15">
        <f t="shared" si="123"/>
        <v>0.142661179698217</v>
      </c>
      <c r="M828" s="15">
        <f t="shared" si="124"/>
        <v>0.1664</v>
      </c>
      <c r="N828" s="16">
        <f t="shared" si="125"/>
        <v>27</v>
      </c>
      <c r="O828" s="16">
        <f t="shared" si="126"/>
        <v>442883.13407458</v>
      </c>
      <c r="P828" s="16">
        <f t="shared" si="127"/>
        <v>227686.92756892</v>
      </c>
      <c r="Q828" s="16">
        <f t="shared" si="128"/>
        <v>11.6895481200414</v>
      </c>
      <c r="R828" s="16">
        <f t="shared" si="129"/>
        <v>1.94514080717489</v>
      </c>
      <c r="S828" s="16">
        <v>24</v>
      </c>
    </row>
    <row r="829" spans="1:19">
      <c r="A829" s="5" t="s">
        <v>439</v>
      </c>
      <c r="B829" s="6">
        <v>108</v>
      </c>
      <c r="C829" s="6">
        <v>4</v>
      </c>
      <c r="D829" s="6">
        <v>648</v>
      </c>
      <c r="E829" s="6">
        <v>338.88</v>
      </c>
      <c r="F829" s="6">
        <v>28.99</v>
      </c>
      <c r="G829" s="5" t="s">
        <v>20</v>
      </c>
      <c r="H829" s="6">
        <v>828.1</v>
      </c>
      <c r="I829" s="14">
        <f t="shared" si="120"/>
        <v>9160.88417786784</v>
      </c>
      <c r="J829" s="15">
        <f t="shared" si="121"/>
        <v>1306.90254389335</v>
      </c>
      <c r="K829" s="15">
        <f t="shared" si="122"/>
        <v>7853.98163397448</v>
      </c>
      <c r="L829" s="15">
        <f t="shared" si="123"/>
        <v>0.142661179698217</v>
      </c>
      <c r="M829" s="15">
        <f t="shared" si="124"/>
        <v>0.1664</v>
      </c>
      <c r="N829" s="16">
        <f t="shared" si="125"/>
        <v>27</v>
      </c>
      <c r="O829" s="16">
        <f t="shared" si="126"/>
        <v>442883.13407458</v>
      </c>
      <c r="P829" s="16">
        <f t="shared" si="127"/>
        <v>227686.92756892</v>
      </c>
      <c r="Q829" s="16">
        <f t="shared" si="128"/>
        <v>11.6895481200414</v>
      </c>
      <c r="R829" s="16">
        <f t="shared" si="129"/>
        <v>1.94514080717489</v>
      </c>
      <c r="S829" s="16">
        <v>24</v>
      </c>
    </row>
    <row r="830" spans="1:19">
      <c r="A830" s="5" t="s">
        <v>440</v>
      </c>
      <c r="B830" s="6">
        <v>108</v>
      </c>
      <c r="C830" s="6">
        <v>4</v>
      </c>
      <c r="D830" s="6">
        <v>864</v>
      </c>
      <c r="E830" s="6">
        <v>338.88</v>
      </c>
      <c r="F830" s="6">
        <v>28.99</v>
      </c>
      <c r="G830" s="5" t="s">
        <v>20</v>
      </c>
      <c r="H830" s="6">
        <v>766.36</v>
      </c>
      <c r="I830" s="14">
        <f t="shared" si="120"/>
        <v>9160.88417786784</v>
      </c>
      <c r="J830" s="15">
        <f t="shared" si="121"/>
        <v>1306.90254389335</v>
      </c>
      <c r="K830" s="15">
        <f t="shared" si="122"/>
        <v>7853.98163397448</v>
      </c>
      <c r="L830" s="15">
        <f t="shared" si="123"/>
        <v>0.142661179698217</v>
      </c>
      <c r="M830" s="15">
        <f t="shared" si="124"/>
        <v>0.1664</v>
      </c>
      <c r="N830" s="16">
        <f t="shared" si="125"/>
        <v>27</v>
      </c>
      <c r="O830" s="16">
        <f t="shared" si="126"/>
        <v>442883.13407458</v>
      </c>
      <c r="P830" s="16">
        <f t="shared" si="127"/>
        <v>227686.92756892</v>
      </c>
      <c r="Q830" s="16">
        <f t="shared" si="128"/>
        <v>11.6895481200414</v>
      </c>
      <c r="R830" s="16">
        <f t="shared" si="129"/>
        <v>1.94514080717489</v>
      </c>
      <c r="S830" s="16">
        <v>32</v>
      </c>
    </row>
    <row r="831" spans="1:19">
      <c r="A831" s="5" t="s">
        <v>561</v>
      </c>
      <c r="B831" s="6">
        <v>108</v>
      </c>
      <c r="C831" s="6">
        <v>4</v>
      </c>
      <c r="D831" s="6">
        <v>864</v>
      </c>
      <c r="E831" s="6">
        <v>338.88</v>
      </c>
      <c r="F831" s="6">
        <v>28.99</v>
      </c>
      <c r="G831" s="5" t="s">
        <v>20</v>
      </c>
      <c r="H831" s="6">
        <v>801.64</v>
      </c>
      <c r="I831" s="14">
        <f t="shared" si="120"/>
        <v>9160.88417786784</v>
      </c>
      <c r="J831" s="15">
        <f t="shared" si="121"/>
        <v>1306.90254389335</v>
      </c>
      <c r="K831" s="15">
        <f t="shared" si="122"/>
        <v>7853.98163397448</v>
      </c>
      <c r="L831" s="15">
        <f t="shared" si="123"/>
        <v>0.142661179698217</v>
      </c>
      <c r="M831" s="15">
        <f t="shared" si="124"/>
        <v>0.1664</v>
      </c>
      <c r="N831" s="16">
        <f t="shared" si="125"/>
        <v>27</v>
      </c>
      <c r="O831" s="16">
        <f t="shared" si="126"/>
        <v>442883.13407458</v>
      </c>
      <c r="P831" s="16">
        <f t="shared" si="127"/>
        <v>227686.92756892</v>
      </c>
      <c r="Q831" s="16">
        <f t="shared" si="128"/>
        <v>11.6895481200414</v>
      </c>
      <c r="R831" s="16">
        <f t="shared" si="129"/>
        <v>1.94514080717489</v>
      </c>
      <c r="S831" s="16">
        <v>32</v>
      </c>
    </row>
    <row r="832" spans="1:19">
      <c r="A832" s="5" t="s">
        <v>562</v>
      </c>
      <c r="B832" s="6">
        <v>108</v>
      </c>
      <c r="C832" s="6">
        <v>4</v>
      </c>
      <c r="D832" s="6">
        <v>864</v>
      </c>
      <c r="E832" s="6">
        <v>338.88</v>
      </c>
      <c r="F832" s="6">
        <v>28.99</v>
      </c>
      <c r="G832" s="5" t="s">
        <v>20</v>
      </c>
      <c r="H832" s="6">
        <v>869.26</v>
      </c>
      <c r="I832" s="14">
        <f t="shared" si="120"/>
        <v>9160.88417786784</v>
      </c>
      <c r="J832" s="15">
        <f t="shared" si="121"/>
        <v>1306.90254389335</v>
      </c>
      <c r="K832" s="15">
        <f t="shared" si="122"/>
        <v>7853.98163397448</v>
      </c>
      <c r="L832" s="15">
        <f t="shared" si="123"/>
        <v>0.142661179698217</v>
      </c>
      <c r="M832" s="15">
        <f t="shared" si="124"/>
        <v>0.1664</v>
      </c>
      <c r="N832" s="16">
        <f t="shared" si="125"/>
        <v>27</v>
      </c>
      <c r="O832" s="16">
        <f t="shared" si="126"/>
        <v>442883.13407458</v>
      </c>
      <c r="P832" s="16">
        <f t="shared" si="127"/>
        <v>227686.92756892</v>
      </c>
      <c r="Q832" s="16">
        <f t="shared" si="128"/>
        <v>11.6895481200414</v>
      </c>
      <c r="R832" s="16">
        <f t="shared" si="129"/>
        <v>1.94514080717489</v>
      </c>
      <c r="S832" s="16">
        <v>32</v>
      </c>
    </row>
    <row r="833" spans="1:19">
      <c r="A833" s="5" t="s">
        <v>441</v>
      </c>
      <c r="B833" s="6">
        <v>108</v>
      </c>
      <c r="C833" s="6">
        <v>4</v>
      </c>
      <c r="D833" s="6">
        <v>1080</v>
      </c>
      <c r="E833" s="6">
        <v>338.88</v>
      </c>
      <c r="F833" s="6">
        <v>28.99</v>
      </c>
      <c r="G833" s="5" t="s">
        <v>20</v>
      </c>
      <c r="H833" s="6">
        <v>836.92</v>
      </c>
      <c r="I833" s="14">
        <f t="shared" si="120"/>
        <v>9160.88417786784</v>
      </c>
      <c r="J833" s="15">
        <f t="shared" si="121"/>
        <v>1306.90254389335</v>
      </c>
      <c r="K833" s="15">
        <f t="shared" si="122"/>
        <v>7853.98163397448</v>
      </c>
      <c r="L833" s="15">
        <f t="shared" si="123"/>
        <v>0.142661179698217</v>
      </c>
      <c r="M833" s="15">
        <f t="shared" si="124"/>
        <v>0.1664</v>
      </c>
      <c r="N833" s="16">
        <f t="shared" si="125"/>
        <v>27</v>
      </c>
      <c r="O833" s="16">
        <f t="shared" si="126"/>
        <v>442883.13407458</v>
      </c>
      <c r="P833" s="16">
        <f t="shared" si="127"/>
        <v>227686.92756892</v>
      </c>
      <c r="Q833" s="16">
        <f t="shared" si="128"/>
        <v>11.6895481200414</v>
      </c>
      <c r="R833" s="16">
        <f t="shared" si="129"/>
        <v>1.94514080717489</v>
      </c>
      <c r="S833" s="16">
        <v>40</v>
      </c>
    </row>
    <row r="834" spans="1:19">
      <c r="A834" s="5" t="s">
        <v>442</v>
      </c>
      <c r="B834" s="6">
        <v>108</v>
      </c>
      <c r="C834" s="6">
        <v>4</v>
      </c>
      <c r="D834" s="6">
        <v>1080</v>
      </c>
      <c r="E834" s="6">
        <v>338.88</v>
      </c>
      <c r="F834" s="6">
        <v>28.99</v>
      </c>
      <c r="G834" s="5" t="s">
        <v>20</v>
      </c>
      <c r="H834" s="6">
        <v>783.02</v>
      </c>
      <c r="I834" s="14">
        <f t="shared" si="120"/>
        <v>9160.88417786784</v>
      </c>
      <c r="J834" s="15">
        <f t="shared" si="121"/>
        <v>1306.90254389335</v>
      </c>
      <c r="K834" s="15">
        <f t="shared" si="122"/>
        <v>7853.98163397448</v>
      </c>
      <c r="L834" s="15">
        <f t="shared" si="123"/>
        <v>0.142661179698217</v>
      </c>
      <c r="M834" s="15">
        <f t="shared" si="124"/>
        <v>0.1664</v>
      </c>
      <c r="N834" s="16">
        <f t="shared" si="125"/>
        <v>27</v>
      </c>
      <c r="O834" s="16">
        <f t="shared" si="126"/>
        <v>442883.13407458</v>
      </c>
      <c r="P834" s="16">
        <f t="shared" si="127"/>
        <v>227686.92756892</v>
      </c>
      <c r="Q834" s="16">
        <f t="shared" si="128"/>
        <v>11.6895481200414</v>
      </c>
      <c r="R834" s="16">
        <f t="shared" si="129"/>
        <v>1.94514080717489</v>
      </c>
      <c r="S834" s="16">
        <v>40</v>
      </c>
    </row>
    <row r="835" spans="1:19">
      <c r="A835" s="5" t="s">
        <v>443</v>
      </c>
      <c r="B835" s="6">
        <v>108</v>
      </c>
      <c r="C835" s="6">
        <v>4</v>
      </c>
      <c r="D835" s="6">
        <v>1620</v>
      </c>
      <c r="E835" s="6">
        <v>338.88</v>
      </c>
      <c r="F835" s="6">
        <v>28.99</v>
      </c>
      <c r="G835" s="5" t="s">
        <v>20</v>
      </c>
      <c r="H835" s="6">
        <v>707.56</v>
      </c>
      <c r="I835" s="14">
        <f t="shared" ref="I835:I898" si="130">(PI()*B835^2)/4</f>
        <v>9160.88417786784</v>
      </c>
      <c r="J835" s="15">
        <f t="shared" ref="J835:J898" si="131">(PI()*(B835^2-(B835-2*C835)^2))/4</f>
        <v>1306.90254389335</v>
      </c>
      <c r="K835" s="15">
        <f t="shared" ref="K835:K898" si="132">(PI()*(B835-2*C835)^2)/4</f>
        <v>7853.98163397448</v>
      </c>
      <c r="L835" s="15">
        <f t="shared" ref="L835:L898" si="133">J835/I835</f>
        <v>0.142661179698217</v>
      </c>
      <c r="M835" s="15">
        <f t="shared" ref="M835:M898" si="134">J835/K835</f>
        <v>0.1664</v>
      </c>
      <c r="N835" s="16">
        <f t="shared" ref="N835:N898" si="135">B835/C835</f>
        <v>27</v>
      </c>
      <c r="O835" s="16">
        <f t="shared" ref="O835:O898" si="136">J835*E835</f>
        <v>442883.13407458</v>
      </c>
      <c r="P835" s="16">
        <f t="shared" ref="P835:P898" si="137">K835*F835</f>
        <v>227686.92756892</v>
      </c>
      <c r="Q835" s="16">
        <f t="shared" ref="Q835:Q898" si="138">E835/F835</f>
        <v>11.6895481200414</v>
      </c>
      <c r="R835" s="16">
        <f t="shared" ref="R835:R898" si="139">O835/P835</f>
        <v>1.94514080717489</v>
      </c>
      <c r="S835" s="16">
        <v>60</v>
      </c>
    </row>
    <row r="836" spans="1:19">
      <c r="A836" s="5" t="s">
        <v>444</v>
      </c>
      <c r="B836" s="6">
        <v>108</v>
      </c>
      <c r="C836" s="6">
        <v>4</v>
      </c>
      <c r="D836" s="6">
        <v>1620</v>
      </c>
      <c r="E836" s="6">
        <v>338.88</v>
      </c>
      <c r="F836" s="6">
        <v>28.99</v>
      </c>
      <c r="G836" s="5" t="s">
        <v>20</v>
      </c>
      <c r="H836" s="6">
        <v>646.8</v>
      </c>
      <c r="I836" s="14">
        <f t="shared" si="130"/>
        <v>9160.88417786784</v>
      </c>
      <c r="J836" s="15">
        <f t="shared" si="131"/>
        <v>1306.90254389335</v>
      </c>
      <c r="K836" s="15">
        <f t="shared" si="132"/>
        <v>7853.98163397448</v>
      </c>
      <c r="L836" s="15">
        <f t="shared" si="133"/>
        <v>0.142661179698217</v>
      </c>
      <c r="M836" s="15">
        <f t="shared" si="134"/>
        <v>0.1664</v>
      </c>
      <c r="N836" s="16">
        <f t="shared" si="135"/>
        <v>27</v>
      </c>
      <c r="O836" s="16">
        <f t="shared" si="136"/>
        <v>442883.13407458</v>
      </c>
      <c r="P836" s="16">
        <f t="shared" si="137"/>
        <v>227686.92756892</v>
      </c>
      <c r="Q836" s="16">
        <f t="shared" si="138"/>
        <v>11.6895481200414</v>
      </c>
      <c r="R836" s="16">
        <f t="shared" si="139"/>
        <v>1.94514080717489</v>
      </c>
      <c r="S836" s="16">
        <v>60</v>
      </c>
    </row>
    <row r="837" spans="1:19">
      <c r="A837" s="5" t="s">
        <v>112</v>
      </c>
      <c r="B837" s="6">
        <v>108</v>
      </c>
      <c r="C837" s="6">
        <v>4</v>
      </c>
      <c r="D837" s="6">
        <v>1620</v>
      </c>
      <c r="E837" s="6">
        <v>338.88</v>
      </c>
      <c r="F837" s="6">
        <v>28.99</v>
      </c>
      <c r="G837" s="5" t="s">
        <v>20</v>
      </c>
      <c r="H837" s="6">
        <v>643.86</v>
      </c>
      <c r="I837" s="14">
        <f t="shared" si="130"/>
        <v>9160.88417786784</v>
      </c>
      <c r="J837" s="15">
        <f t="shared" si="131"/>
        <v>1306.90254389335</v>
      </c>
      <c r="K837" s="15">
        <f t="shared" si="132"/>
        <v>7853.98163397448</v>
      </c>
      <c r="L837" s="15">
        <f t="shared" si="133"/>
        <v>0.142661179698217</v>
      </c>
      <c r="M837" s="15">
        <f t="shared" si="134"/>
        <v>0.1664</v>
      </c>
      <c r="N837" s="16">
        <f t="shared" si="135"/>
        <v>27</v>
      </c>
      <c r="O837" s="16">
        <f t="shared" si="136"/>
        <v>442883.13407458</v>
      </c>
      <c r="P837" s="16">
        <f t="shared" si="137"/>
        <v>227686.92756892</v>
      </c>
      <c r="Q837" s="16">
        <f t="shared" si="138"/>
        <v>11.6895481200414</v>
      </c>
      <c r="R837" s="16">
        <f t="shared" si="139"/>
        <v>1.94514080717489</v>
      </c>
      <c r="S837" s="16">
        <v>60</v>
      </c>
    </row>
    <row r="838" spans="1:19">
      <c r="A838" s="5" t="s">
        <v>113</v>
      </c>
      <c r="B838" s="6">
        <v>108</v>
      </c>
      <c r="C838" s="6">
        <v>4</v>
      </c>
      <c r="D838" s="6">
        <v>2160</v>
      </c>
      <c r="E838" s="6">
        <v>338.88</v>
      </c>
      <c r="F838" s="6">
        <v>28.99</v>
      </c>
      <c r="G838" s="5" t="s">
        <v>20</v>
      </c>
      <c r="H838" s="6">
        <v>672.28</v>
      </c>
      <c r="I838" s="14">
        <f t="shared" si="130"/>
        <v>9160.88417786784</v>
      </c>
      <c r="J838" s="15">
        <f t="shared" si="131"/>
        <v>1306.90254389335</v>
      </c>
      <c r="K838" s="15">
        <f t="shared" si="132"/>
        <v>7853.98163397448</v>
      </c>
      <c r="L838" s="15">
        <f t="shared" si="133"/>
        <v>0.142661179698217</v>
      </c>
      <c r="M838" s="15">
        <f t="shared" si="134"/>
        <v>0.1664</v>
      </c>
      <c r="N838" s="16">
        <f t="shared" si="135"/>
        <v>27</v>
      </c>
      <c r="O838" s="16">
        <f t="shared" si="136"/>
        <v>442883.13407458</v>
      </c>
      <c r="P838" s="16">
        <f t="shared" si="137"/>
        <v>227686.92756892</v>
      </c>
      <c r="Q838" s="16">
        <f t="shared" si="138"/>
        <v>11.6895481200414</v>
      </c>
      <c r="R838" s="16">
        <f t="shared" si="139"/>
        <v>1.94514080717489</v>
      </c>
      <c r="S838" s="16">
        <v>80</v>
      </c>
    </row>
    <row r="839" spans="1:19">
      <c r="A839" s="5" t="s">
        <v>114</v>
      </c>
      <c r="B839" s="6">
        <v>108</v>
      </c>
      <c r="C839" s="6">
        <v>4</v>
      </c>
      <c r="D839" s="6">
        <v>2160</v>
      </c>
      <c r="E839" s="6">
        <v>338.88</v>
      </c>
      <c r="F839" s="6">
        <v>28.99</v>
      </c>
      <c r="G839" s="5" t="s">
        <v>20</v>
      </c>
      <c r="H839" s="6">
        <v>697.76</v>
      </c>
      <c r="I839" s="14">
        <f t="shared" si="130"/>
        <v>9160.88417786784</v>
      </c>
      <c r="J839" s="15">
        <f t="shared" si="131"/>
        <v>1306.90254389335</v>
      </c>
      <c r="K839" s="15">
        <f t="shared" si="132"/>
        <v>7853.98163397448</v>
      </c>
      <c r="L839" s="15">
        <f t="shared" si="133"/>
        <v>0.142661179698217</v>
      </c>
      <c r="M839" s="15">
        <f t="shared" si="134"/>
        <v>0.1664</v>
      </c>
      <c r="N839" s="16">
        <f t="shared" si="135"/>
        <v>27</v>
      </c>
      <c r="O839" s="16">
        <f t="shared" si="136"/>
        <v>442883.13407458</v>
      </c>
      <c r="P839" s="16">
        <f t="shared" si="137"/>
        <v>227686.92756892</v>
      </c>
      <c r="Q839" s="16">
        <f t="shared" si="138"/>
        <v>11.6895481200414</v>
      </c>
      <c r="R839" s="16">
        <f t="shared" si="139"/>
        <v>1.94514080717489</v>
      </c>
      <c r="S839" s="16">
        <v>80</v>
      </c>
    </row>
    <row r="840" spans="1:19">
      <c r="A840" s="5" t="s">
        <v>115</v>
      </c>
      <c r="B840" s="6">
        <v>108</v>
      </c>
      <c r="C840" s="6">
        <v>4</v>
      </c>
      <c r="D840" s="6">
        <v>2160</v>
      </c>
      <c r="E840" s="6">
        <v>338.88</v>
      </c>
      <c r="F840" s="6">
        <v>28.99</v>
      </c>
      <c r="G840" s="5" t="s">
        <v>20</v>
      </c>
      <c r="H840" s="6">
        <v>676.2</v>
      </c>
      <c r="I840" s="14">
        <f t="shared" si="130"/>
        <v>9160.88417786784</v>
      </c>
      <c r="J840" s="15">
        <f t="shared" si="131"/>
        <v>1306.90254389335</v>
      </c>
      <c r="K840" s="15">
        <f t="shared" si="132"/>
        <v>7853.98163397448</v>
      </c>
      <c r="L840" s="15">
        <f t="shared" si="133"/>
        <v>0.142661179698217</v>
      </c>
      <c r="M840" s="15">
        <f t="shared" si="134"/>
        <v>0.1664</v>
      </c>
      <c r="N840" s="16">
        <f t="shared" si="135"/>
        <v>27</v>
      </c>
      <c r="O840" s="16">
        <f t="shared" si="136"/>
        <v>442883.13407458</v>
      </c>
      <c r="P840" s="16">
        <f t="shared" si="137"/>
        <v>227686.92756892</v>
      </c>
      <c r="Q840" s="16">
        <f t="shared" si="138"/>
        <v>11.6895481200414</v>
      </c>
      <c r="R840" s="16">
        <f t="shared" si="139"/>
        <v>1.94514080717489</v>
      </c>
      <c r="S840" s="16">
        <v>80</v>
      </c>
    </row>
    <row r="841" spans="1:19">
      <c r="A841" s="5" t="s">
        <v>116</v>
      </c>
      <c r="B841" s="6">
        <v>108</v>
      </c>
      <c r="C841" s="6">
        <v>4</v>
      </c>
      <c r="D841" s="6">
        <v>2700</v>
      </c>
      <c r="E841" s="6">
        <v>338.88</v>
      </c>
      <c r="F841" s="6">
        <v>28.99</v>
      </c>
      <c r="G841" s="5" t="s">
        <v>20</v>
      </c>
      <c r="H841" s="6">
        <v>648.76</v>
      </c>
      <c r="I841" s="14">
        <f t="shared" si="130"/>
        <v>9160.88417786784</v>
      </c>
      <c r="J841" s="15">
        <f t="shared" si="131"/>
        <v>1306.90254389335</v>
      </c>
      <c r="K841" s="15">
        <f t="shared" si="132"/>
        <v>7853.98163397448</v>
      </c>
      <c r="L841" s="15">
        <f t="shared" si="133"/>
        <v>0.142661179698217</v>
      </c>
      <c r="M841" s="15">
        <f t="shared" si="134"/>
        <v>0.1664</v>
      </c>
      <c r="N841" s="16">
        <f t="shared" si="135"/>
        <v>27</v>
      </c>
      <c r="O841" s="16">
        <f t="shared" si="136"/>
        <v>442883.13407458</v>
      </c>
      <c r="P841" s="16">
        <f t="shared" si="137"/>
        <v>227686.92756892</v>
      </c>
      <c r="Q841" s="16">
        <f t="shared" si="138"/>
        <v>11.6895481200414</v>
      </c>
      <c r="R841" s="16">
        <f t="shared" si="139"/>
        <v>1.94514080717489</v>
      </c>
      <c r="S841" s="16">
        <v>100</v>
      </c>
    </row>
    <row r="842" spans="1:19">
      <c r="A842" s="5" t="s">
        <v>117</v>
      </c>
      <c r="B842" s="6">
        <v>108</v>
      </c>
      <c r="C842" s="6">
        <v>4</v>
      </c>
      <c r="D842" s="6">
        <v>3240</v>
      </c>
      <c r="E842" s="6">
        <v>338.88</v>
      </c>
      <c r="F842" s="6">
        <v>28.99</v>
      </c>
      <c r="G842" s="5" t="s">
        <v>20</v>
      </c>
      <c r="H842" s="6">
        <v>559.58</v>
      </c>
      <c r="I842" s="14">
        <f t="shared" si="130"/>
        <v>9160.88417786784</v>
      </c>
      <c r="J842" s="15">
        <f t="shared" si="131"/>
        <v>1306.90254389335</v>
      </c>
      <c r="K842" s="15">
        <f t="shared" si="132"/>
        <v>7853.98163397448</v>
      </c>
      <c r="L842" s="15">
        <f t="shared" si="133"/>
        <v>0.142661179698217</v>
      </c>
      <c r="M842" s="15">
        <f t="shared" si="134"/>
        <v>0.1664</v>
      </c>
      <c r="N842" s="16">
        <f t="shared" si="135"/>
        <v>27</v>
      </c>
      <c r="O842" s="16">
        <f t="shared" si="136"/>
        <v>442883.13407458</v>
      </c>
      <c r="P842" s="16">
        <f t="shared" si="137"/>
        <v>227686.92756892</v>
      </c>
      <c r="Q842" s="16">
        <f t="shared" si="138"/>
        <v>11.6895481200414</v>
      </c>
      <c r="R842" s="16">
        <f t="shared" si="139"/>
        <v>1.94514080717489</v>
      </c>
      <c r="S842" s="16">
        <v>120</v>
      </c>
    </row>
    <row r="843" spans="1:19">
      <c r="A843" s="5" t="s">
        <v>118</v>
      </c>
      <c r="B843" s="6">
        <v>108</v>
      </c>
      <c r="C843" s="6">
        <v>4</v>
      </c>
      <c r="D843" s="6">
        <v>3240</v>
      </c>
      <c r="E843" s="6">
        <v>338.88</v>
      </c>
      <c r="F843" s="6">
        <v>28.99</v>
      </c>
      <c r="G843" s="5" t="s">
        <v>20</v>
      </c>
      <c r="H843" s="6">
        <v>478.24</v>
      </c>
      <c r="I843" s="14">
        <f t="shared" si="130"/>
        <v>9160.88417786784</v>
      </c>
      <c r="J843" s="15">
        <f t="shared" si="131"/>
        <v>1306.90254389335</v>
      </c>
      <c r="K843" s="15">
        <f t="shared" si="132"/>
        <v>7853.98163397448</v>
      </c>
      <c r="L843" s="15">
        <f t="shared" si="133"/>
        <v>0.142661179698217</v>
      </c>
      <c r="M843" s="15">
        <f t="shared" si="134"/>
        <v>0.1664</v>
      </c>
      <c r="N843" s="16">
        <f t="shared" si="135"/>
        <v>27</v>
      </c>
      <c r="O843" s="16">
        <f t="shared" si="136"/>
        <v>442883.13407458</v>
      </c>
      <c r="P843" s="16">
        <f t="shared" si="137"/>
        <v>227686.92756892</v>
      </c>
      <c r="Q843" s="16">
        <f t="shared" si="138"/>
        <v>11.6895481200414</v>
      </c>
      <c r="R843" s="16">
        <f t="shared" si="139"/>
        <v>1.94514080717489</v>
      </c>
      <c r="S843" s="16">
        <v>120</v>
      </c>
    </row>
    <row r="844" spans="1:19">
      <c r="A844" s="5" t="s">
        <v>119</v>
      </c>
      <c r="B844" s="6">
        <v>108</v>
      </c>
      <c r="C844" s="6">
        <v>4</v>
      </c>
      <c r="D844" s="6">
        <v>3240</v>
      </c>
      <c r="E844" s="6">
        <v>338.88</v>
      </c>
      <c r="F844" s="6">
        <v>28.99</v>
      </c>
      <c r="G844" s="5" t="s">
        <v>20</v>
      </c>
      <c r="H844" s="6">
        <v>600.74</v>
      </c>
      <c r="I844" s="14">
        <f t="shared" si="130"/>
        <v>9160.88417786784</v>
      </c>
      <c r="J844" s="15">
        <f t="shared" si="131"/>
        <v>1306.90254389335</v>
      </c>
      <c r="K844" s="15">
        <f t="shared" si="132"/>
        <v>7853.98163397448</v>
      </c>
      <c r="L844" s="15">
        <f t="shared" si="133"/>
        <v>0.142661179698217</v>
      </c>
      <c r="M844" s="15">
        <f t="shared" si="134"/>
        <v>0.1664</v>
      </c>
      <c r="N844" s="16">
        <f t="shared" si="135"/>
        <v>27</v>
      </c>
      <c r="O844" s="16">
        <f t="shared" si="136"/>
        <v>442883.13407458</v>
      </c>
      <c r="P844" s="16">
        <f t="shared" si="137"/>
        <v>227686.92756892</v>
      </c>
      <c r="Q844" s="16">
        <f t="shared" si="138"/>
        <v>11.6895481200414</v>
      </c>
      <c r="R844" s="16">
        <f t="shared" si="139"/>
        <v>1.94514080717489</v>
      </c>
      <c r="S844" s="16">
        <v>120</v>
      </c>
    </row>
    <row r="845" spans="1:19">
      <c r="A845" s="5" t="s">
        <v>445</v>
      </c>
      <c r="B845" s="6">
        <v>108</v>
      </c>
      <c r="C845" s="6">
        <v>4</v>
      </c>
      <c r="D845" s="6">
        <v>4320</v>
      </c>
      <c r="E845" s="6">
        <v>338.88</v>
      </c>
      <c r="F845" s="6">
        <v>28.99</v>
      </c>
      <c r="G845" s="5" t="s">
        <v>20</v>
      </c>
      <c r="H845" s="6">
        <v>373.38</v>
      </c>
      <c r="I845" s="14">
        <f t="shared" si="130"/>
        <v>9160.88417786784</v>
      </c>
      <c r="J845" s="15">
        <f t="shared" si="131"/>
        <v>1306.90254389335</v>
      </c>
      <c r="K845" s="15">
        <f t="shared" si="132"/>
        <v>7853.98163397448</v>
      </c>
      <c r="L845" s="15">
        <f t="shared" si="133"/>
        <v>0.142661179698217</v>
      </c>
      <c r="M845" s="15">
        <f t="shared" si="134"/>
        <v>0.1664</v>
      </c>
      <c r="N845" s="16">
        <f t="shared" si="135"/>
        <v>27</v>
      </c>
      <c r="O845" s="16">
        <f t="shared" si="136"/>
        <v>442883.13407458</v>
      </c>
      <c r="P845" s="16">
        <f t="shared" si="137"/>
        <v>227686.92756892</v>
      </c>
      <c r="Q845" s="16">
        <f t="shared" si="138"/>
        <v>11.6895481200414</v>
      </c>
      <c r="R845" s="16">
        <f t="shared" si="139"/>
        <v>1.94514080717489</v>
      </c>
      <c r="S845" s="16">
        <v>160</v>
      </c>
    </row>
    <row r="846" spans="1:19">
      <c r="A846" s="5" t="s">
        <v>446</v>
      </c>
      <c r="B846" s="6">
        <v>108</v>
      </c>
      <c r="C846" s="6">
        <v>4</v>
      </c>
      <c r="D846" s="6">
        <v>4320</v>
      </c>
      <c r="E846" s="6">
        <v>338.88</v>
      </c>
      <c r="F846" s="6">
        <v>28.99</v>
      </c>
      <c r="G846" s="5" t="s">
        <v>20</v>
      </c>
      <c r="H846" s="6">
        <v>345.94</v>
      </c>
      <c r="I846" s="14">
        <f t="shared" si="130"/>
        <v>9160.88417786784</v>
      </c>
      <c r="J846" s="15">
        <f t="shared" si="131"/>
        <v>1306.90254389335</v>
      </c>
      <c r="K846" s="15">
        <f t="shared" si="132"/>
        <v>7853.98163397448</v>
      </c>
      <c r="L846" s="15">
        <f t="shared" si="133"/>
        <v>0.142661179698217</v>
      </c>
      <c r="M846" s="15">
        <f t="shared" si="134"/>
        <v>0.1664</v>
      </c>
      <c r="N846" s="16">
        <f t="shared" si="135"/>
        <v>27</v>
      </c>
      <c r="O846" s="16">
        <f t="shared" si="136"/>
        <v>442883.13407458</v>
      </c>
      <c r="P846" s="16">
        <f t="shared" si="137"/>
        <v>227686.92756892</v>
      </c>
      <c r="Q846" s="16">
        <f t="shared" si="138"/>
        <v>11.6895481200414</v>
      </c>
      <c r="R846" s="16">
        <f t="shared" si="139"/>
        <v>1.94514080717489</v>
      </c>
      <c r="S846" s="16">
        <v>160</v>
      </c>
    </row>
    <row r="847" spans="1:19">
      <c r="A847" s="5" t="s">
        <v>120</v>
      </c>
      <c r="B847" s="6">
        <v>108</v>
      </c>
      <c r="C847" s="6">
        <v>4</v>
      </c>
      <c r="D847" s="6">
        <v>4320</v>
      </c>
      <c r="E847" s="6">
        <v>338.88</v>
      </c>
      <c r="F847" s="6">
        <v>28.99</v>
      </c>
      <c r="G847" s="5" t="s">
        <v>20</v>
      </c>
      <c r="H847" s="6">
        <v>294</v>
      </c>
      <c r="I847" s="14">
        <f t="shared" si="130"/>
        <v>9160.88417786784</v>
      </c>
      <c r="J847" s="15">
        <f t="shared" si="131"/>
        <v>1306.90254389335</v>
      </c>
      <c r="K847" s="15">
        <f t="shared" si="132"/>
        <v>7853.98163397448</v>
      </c>
      <c r="L847" s="15">
        <f t="shared" si="133"/>
        <v>0.142661179698217</v>
      </c>
      <c r="M847" s="15">
        <f t="shared" si="134"/>
        <v>0.1664</v>
      </c>
      <c r="N847" s="16">
        <f t="shared" si="135"/>
        <v>27</v>
      </c>
      <c r="O847" s="16">
        <f t="shared" si="136"/>
        <v>442883.13407458</v>
      </c>
      <c r="P847" s="16">
        <f t="shared" si="137"/>
        <v>227686.92756892</v>
      </c>
      <c r="Q847" s="16">
        <f t="shared" si="138"/>
        <v>11.6895481200414</v>
      </c>
      <c r="R847" s="16">
        <f t="shared" si="139"/>
        <v>1.94514080717489</v>
      </c>
      <c r="S847" s="16">
        <v>160</v>
      </c>
    </row>
    <row r="848" spans="1:19">
      <c r="A848" s="5" t="s">
        <v>121</v>
      </c>
      <c r="B848" s="6">
        <v>108</v>
      </c>
      <c r="C848" s="6">
        <v>4</v>
      </c>
      <c r="D848" s="6">
        <v>5400</v>
      </c>
      <c r="E848" s="6">
        <v>338.88</v>
      </c>
      <c r="F848" s="6">
        <v>28.99</v>
      </c>
      <c r="G848" s="5" t="s">
        <v>20</v>
      </c>
      <c r="H848" s="6">
        <v>225.4</v>
      </c>
      <c r="I848" s="14">
        <f t="shared" si="130"/>
        <v>9160.88417786784</v>
      </c>
      <c r="J848" s="15">
        <f t="shared" si="131"/>
        <v>1306.90254389335</v>
      </c>
      <c r="K848" s="15">
        <f t="shared" si="132"/>
        <v>7853.98163397448</v>
      </c>
      <c r="L848" s="15">
        <f t="shared" si="133"/>
        <v>0.142661179698217</v>
      </c>
      <c r="M848" s="15">
        <f t="shared" si="134"/>
        <v>0.1664</v>
      </c>
      <c r="N848" s="16">
        <f t="shared" si="135"/>
        <v>27</v>
      </c>
      <c r="O848" s="16">
        <f t="shared" si="136"/>
        <v>442883.13407458</v>
      </c>
      <c r="P848" s="16">
        <f t="shared" si="137"/>
        <v>227686.92756892</v>
      </c>
      <c r="Q848" s="16">
        <f t="shared" si="138"/>
        <v>11.6895481200414</v>
      </c>
      <c r="R848" s="16">
        <f t="shared" si="139"/>
        <v>1.94514080717489</v>
      </c>
      <c r="S848" s="16">
        <v>200</v>
      </c>
    </row>
    <row r="849" spans="1:19">
      <c r="A849" s="5" t="s">
        <v>122</v>
      </c>
      <c r="B849" s="6">
        <v>108</v>
      </c>
      <c r="C849" s="6">
        <v>4</v>
      </c>
      <c r="D849" s="6">
        <v>5400</v>
      </c>
      <c r="E849" s="6">
        <v>338.88</v>
      </c>
      <c r="F849" s="6">
        <v>28.99</v>
      </c>
      <c r="G849" s="5" t="s">
        <v>20</v>
      </c>
      <c r="H849" s="6">
        <v>210.7</v>
      </c>
      <c r="I849" s="14">
        <f t="shared" si="130"/>
        <v>9160.88417786784</v>
      </c>
      <c r="J849" s="15">
        <f t="shared" si="131"/>
        <v>1306.90254389335</v>
      </c>
      <c r="K849" s="15">
        <f t="shared" si="132"/>
        <v>7853.98163397448</v>
      </c>
      <c r="L849" s="15">
        <f t="shared" si="133"/>
        <v>0.142661179698217</v>
      </c>
      <c r="M849" s="15">
        <f t="shared" si="134"/>
        <v>0.1664</v>
      </c>
      <c r="N849" s="16">
        <f t="shared" si="135"/>
        <v>27</v>
      </c>
      <c r="O849" s="16">
        <f t="shared" si="136"/>
        <v>442883.13407458</v>
      </c>
      <c r="P849" s="16">
        <f t="shared" si="137"/>
        <v>227686.92756892</v>
      </c>
      <c r="Q849" s="16">
        <f t="shared" si="138"/>
        <v>11.6895481200414</v>
      </c>
      <c r="R849" s="16">
        <f t="shared" si="139"/>
        <v>1.94514080717489</v>
      </c>
      <c r="S849" s="16">
        <v>200</v>
      </c>
    </row>
    <row r="850" spans="1:19">
      <c r="A850" s="5" t="s">
        <v>123</v>
      </c>
      <c r="B850" s="6">
        <v>108</v>
      </c>
      <c r="C850" s="6">
        <v>4</v>
      </c>
      <c r="D850" s="6">
        <v>5560</v>
      </c>
      <c r="E850" s="6">
        <v>338.88</v>
      </c>
      <c r="F850" s="6">
        <v>28.99</v>
      </c>
      <c r="G850" s="5" t="s">
        <v>20</v>
      </c>
      <c r="H850" s="6">
        <v>212.5</v>
      </c>
      <c r="I850" s="14">
        <f t="shared" si="130"/>
        <v>9160.88417786784</v>
      </c>
      <c r="J850" s="15">
        <f t="shared" si="131"/>
        <v>1306.90254389335</v>
      </c>
      <c r="K850" s="15">
        <f t="shared" si="132"/>
        <v>7853.98163397448</v>
      </c>
      <c r="L850" s="15">
        <f t="shared" si="133"/>
        <v>0.142661179698217</v>
      </c>
      <c r="M850" s="15">
        <f t="shared" si="134"/>
        <v>0.1664</v>
      </c>
      <c r="N850" s="16">
        <f t="shared" si="135"/>
        <v>27</v>
      </c>
      <c r="O850" s="16">
        <f t="shared" si="136"/>
        <v>442883.13407458</v>
      </c>
      <c r="P850" s="16">
        <f t="shared" si="137"/>
        <v>227686.92756892</v>
      </c>
      <c r="Q850" s="16">
        <f t="shared" si="138"/>
        <v>11.6895481200414</v>
      </c>
      <c r="R850" s="16">
        <f t="shared" si="139"/>
        <v>1.94514080717489</v>
      </c>
      <c r="S850" s="16">
        <v>205.925925925926</v>
      </c>
    </row>
    <row r="851" spans="1:19">
      <c r="A851" s="5" t="s">
        <v>648</v>
      </c>
      <c r="B851" s="6">
        <v>104</v>
      </c>
      <c r="C851" s="6">
        <v>2</v>
      </c>
      <c r="D851" s="6">
        <v>524</v>
      </c>
      <c r="E851" s="6">
        <v>344</v>
      </c>
      <c r="F851" s="6">
        <v>32.65</v>
      </c>
      <c r="G851" s="5" t="s">
        <v>20</v>
      </c>
      <c r="H851" s="6">
        <v>540</v>
      </c>
      <c r="I851" s="14">
        <f t="shared" si="130"/>
        <v>8494.8665353068</v>
      </c>
      <c r="J851" s="15">
        <f t="shared" si="131"/>
        <v>640.884901332318</v>
      </c>
      <c r="K851" s="15">
        <f t="shared" si="132"/>
        <v>7853.98163397448</v>
      </c>
      <c r="L851" s="15">
        <f t="shared" si="133"/>
        <v>0.0754437869822485</v>
      </c>
      <c r="M851" s="15">
        <f t="shared" si="134"/>
        <v>0.0816</v>
      </c>
      <c r="N851" s="16">
        <f t="shared" si="135"/>
        <v>52</v>
      </c>
      <c r="O851" s="16">
        <f t="shared" si="136"/>
        <v>220464.406058317</v>
      </c>
      <c r="P851" s="16">
        <f t="shared" si="137"/>
        <v>256432.500349267</v>
      </c>
      <c r="Q851" s="16">
        <f t="shared" si="138"/>
        <v>10.5359877488515</v>
      </c>
      <c r="R851" s="16">
        <f t="shared" si="139"/>
        <v>0.859736600306279</v>
      </c>
      <c r="S851" s="16">
        <v>20.1538461538462</v>
      </c>
    </row>
    <row r="852" spans="1:19">
      <c r="A852" s="5" t="s">
        <v>649</v>
      </c>
      <c r="B852" s="6">
        <v>105</v>
      </c>
      <c r="C852" s="6">
        <v>2.5</v>
      </c>
      <c r="D852" s="6">
        <v>530</v>
      </c>
      <c r="E852" s="6">
        <v>344</v>
      </c>
      <c r="F852" s="6">
        <v>35.65</v>
      </c>
      <c r="G852" s="5" t="s">
        <v>20</v>
      </c>
      <c r="H852" s="6">
        <v>613</v>
      </c>
      <c r="I852" s="14">
        <f t="shared" si="130"/>
        <v>8659.01475145687</v>
      </c>
      <c r="J852" s="15">
        <f t="shared" si="131"/>
        <v>805.033117482384</v>
      </c>
      <c r="K852" s="15">
        <f t="shared" si="132"/>
        <v>7853.98163397448</v>
      </c>
      <c r="L852" s="15">
        <f t="shared" si="133"/>
        <v>0.0929705215419501</v>
      </c>
      <c r="M852" s="15">
        <f t="shared" si="134"/>
        <v>0.1025</v>
      </c>
      <c r="N852" s="16">
        <f t="shared" si="135"/>
        <v>42</v>
      </c>
      <c r="O852" s="16">
        <f t="shared" si="136"/>
        <v>276931.39241394</v>
      </c>
      <c r="P852" s="16">
        <f t="shared" si="137"/>
        <v>279994.44525119</v>
      </c>
      <c r="Q852" s="16">
        <f t="shared" si="138"/>
        <v>9.64936886395512</v>
      </c>
      <c r="R852" s="16">
        <f t="shared" si="139"/>
        <v>0.9890603085554</v>
      </c>
      <c r="S852" s="16">
        <v>20.1904761904762</v>
      </c>
    </row>
    <row r="853" spans="1:19">
      <c r="A853" s="5" t="s">
        <v>650</v>
      </c>
      <c r="B853" s="6">
        <v>106</v>
      </c>
      <c r="C853" s="6">
        <v>3</v>
      </c>
      <c r="D853" s="6">
        <v>536</v>
      </c>
      <c r="E853" s="6">
        <v>344</v>
      </c>
      <c r="F853" s="6">
        <v>33.47</v>
      </c>
      <c r="G853" s="5" t="s">
        <v>20</v>
      </c>
      <c r="H853" s="6">
        <v>674</v>
      </c>
      <c r="I853" s="14">
        <f t="shared" si="130"/>
        <v>8824.73376393373</v>
      </c>
      <c r="J853" s="15">
        <f t="shared" si="131"/>
        <v>970.752129959246</v>
      </c>
      <c r="K853" s="15">
        <f t="shared" si="132"/>
        <v>7853.98163397448</v>
      </c>
      <c r="L853" s="15">
        <f t="shared" si="133"/>
        <v>0.11000355998576</v>
      </c>
      <c r="M853" s="15">
        <f t="shared" si="134"/>
        <v>0.1236</v>
      </c>
      <c r="N853" s="16">
        <f t="shared" si="135"/>
        <v>35.3333333333333</v>
      </c>
      <c r="O853" s="16">
        <f t="shared" si="136"/>
        <v>333938.732705981</v>
      </c>
      <c r="P853" s="16">
        <f t="shared" si="137"/>
        <v>262872.765289126</v>
      </c>
      <c r="Q853" s="16">
        <f t="shared" si="138"/>
        <v>10.2778607708396</v>
      </c>
      <c r="R853" s="16">
        <f t="shared" si="139"/>
        <v>1.27034359127577</v>
      </c>
      <c r="S853" s="16">
        <v>20.2264150943396</v>
      </c>
    </row>
    <row r="854" spans="1:19">
      <c r="A854" s="5" t="s">
        <v>651</v>
      </c>
      <c r="B854" s="6">
        <v>107</v>
      </c>
      <c r="C854" s="6">
        <v>3.5</v>
      </c>
      <c r="D854" s="6">
        <v>542</v>
      </c>
      <c r="E854" s="6">
        <v>379.8</v>
      </c>
      <c r="F854" s="6">
        <v>31.87</v>
      </c>
      <c r="G854" s="5" t="s">
        <v>20</v>
      </c>
      <c r="H854" s="6">
        <v>835</v>
      </c>
      <c r="I854" s="14">
        <f t="shared" si="130"/>
        <v>8992.02357273739</v>
      </c>
      <c r="J854" s="15">
        <f t="shared" si="131"/>
        <v>1138.0419387629</v>
      </c>
      <c r="K854" s="15">
        <f t="shared" si="132"/>
        <v>7853.98163397448</v>
      </c>
      <c r="L854" s="15">
        <f t="shared" si="133"/>
        <v>0.126561271726788</v>
      </c>
      <c r="M854" s="15">
        <f t="shared" si="134"/>
        <v>0.1449</v>
      </c>
      <c r="N854" s="16">
        <f t="shared" si="135"/>
        <v>30.5714285714286</v>
      </c>
      <c r="O854" s="16">
        <f t="shared" si="136"/>
        <v>432228.32834215</v>
      </c>
      <c r="P854" s="16">
        <f t="shared" si="137"/>
        <v>250306.394674767</v>
      </c>
      <c r="Q854" s="16">
        <f t="shared" si="138"/>
        <v>11.9171634766238</v>
      </c>
      <c r="R854" s="16">
        <f t="shared" si="139"/>
        <v>1.72679698776279</v>
      </c>
      <c r="S854" s="16">
        <v>20.2616822429907</v>
      </c>
    </row>
    <row r="855" spans="1:19">
      <c r="A855" s="5" t="s">
        <v>652</v>
      </c>
      <c r="B855" s="6">
        <v>107</v>
      </c>
      <c r="C855" s="6">
        <v>4</v>
      </c>
      <c r="D855" s="6">
        <v>542</v>
      </c>
      <c r="E855" s="6">
        <v>379.8</v>
      </c>
      <c r="F855" s="6">
        <v>31.87</v>
      </c>
      <c r="G855" s="5" t="s">
        <v>20</v>
      </c>
      <c r="H855" s="6">
        <v>889</v>
      </c>
      <c r="I855" s="14">
        <f t="shared" si="130"/>
        <v>8992.02357273739</v>
      </c>
      <c r="J855" s="15">
        <f t="shared" si="131"/>
        <v>1294.33617327899</v>
      </c>
      <c r="K855" s="15">
        <f t="shared" si="132"/>
        <v>7697.68739945839</v>
      </c>
      <c r="L855" s="15">
        <f t="shared" si="133"/>
        <v>0.143942702419425</v>
      </c>
      <c r="M855" s="15">
        <f t="shared" si="134"/>
        <v>0.168146107540047</v>
      </c>
      <c r="N855" s="16">
        <f t="shared" si="135"/>
        <v>26.75</v>
      </c>
      <c r="O855" s="16">
        <f t="shared" si="136"/>
        <v>491588.878611362</v>
      </c>
      <c r="P855" s="16">
        <f t="shared" si="137"/>
        <v>245325.297420739</v>
      </c>
      <c r="Q855" s="16">
        <f t="shared" si="138"/>
        <v>11.9171634766238</v>
      </c>
      <c r="R855" s="16">
        <f t="shared" si="139"/>
        <v>2.0038246515127</v>
      </c>
      <c r="S855" s="16">
        <v>20.2616822429907</v>
      </c>
    </row>
    <row r="856" spans="1:19">
      <c r="A856" s="5" t="s">
        <v>653</v>
      </c>
      <c r="B856" s="6">
        <v>108</v>
      </c>
      <c r="C856" s="6">
        <v>4.5</v>
      </c>
      <c r="D856" s="6">
        <v>548</v>
      </c>
      <c r="E856" s="6">
        <v>344</v>
      </c>
      <c r="F856" s="6">
        <v>33.5</v>
      </c>
      <c r="G856" s="5" t="s">
        <v>20</v>
      </c>
      <c r="H856" s="6">
        <v>917</v>
      </c>
      <c r="I856" s="14">
        <f t="shared" si="130"/>
        <v>9160.88417786784</v>
      </c>
      <c r="J856" s="15">
        <f t="shared" si="131"/>
        <v>1463.19677840945</v>
      </c>
      <c r="K856" s="15">
        <f t="shared" si="132"/>
        <v>7697.68739945839</v>
      </c>
      <c r="L856" s="15">
        <f t="shared" si="133"/>
        <v>0.159722222222222</v>
      </c>
      <c r="M856" s="15">
        <f t="shared" si="134"/>
        <v>0.190082644628099</v>
      </c>
      <c r="N856" s="16">
        <f t="shared" si="135"/>
        <v>24</v>
      </c>
      <c r="O856" s="16">
        <f t="shared" si="136"/>
        <v>503339.691772849</v>
      </c>
      <c r="P856" s="16">
        <f t="shared" si="137"/>
        <v>257872.527881856</v>
      </c>
      <c r="Q856" s="16">
        <f t="shared" si="138"/>
        <v>10.2686567164179</v>
      </c>
      <c r="R856" s="16">
        <f t="shared" si="139"/>
        <v>1.95189342543481</v>
      </c>
      <c r="S856" s="16">
        <v>20.2962962962963</v>
      </c>
    </row>
    <row r="857" spans="1:19">
      <c r="A857" s="5" t="s">
        <v>654</v>
      </c>
      <c r="B857" s="6">
        <v>108</v>
      </c>
      <c r="C857" s="6">
        <v>5</v>
      </c>
      <c r="D857" s="6">
        <v>548</v>
      </c>
      <c r="E857" s="6">
        <v>379.8</v>
      </c>
      <c r="F857" s="6">
        <v>33.5</v>
      </c>
      <c r="G857" s="5" t="s">
        <v>20</v>
      </c>
      <c r="H857" s="6">
        <v>1084</v>
      </c>
      <c r="I857" s="14">
        <f t="shared" si="130"/>
        <v>9160.88417786784</v>
      </c>
      <c r="J857" s="15">
        <f t="shared" si="131"/>
        <v>1617.92021659874</v>
      </c>
      <c r="K857" s="15">
        <f t="shared" si="132"/>
        <v>7542.96396126909</v>
      </c>
      <c r="L857" s="15">
        <f t="shared" si="133"/>
        <v>0.176611796982167</v>
      </c>
      <c r="M857" s="15">
        <f t="shared" si="134"/>
        <v>0.214493960849646</v>
      </c>
      <c r="N857" s="16">
        <f t="shared" si="135"/>
        <v>21.6</v>
      </c>
      <c r="O857" s="16">
        <f t="shared" si="136"/>
        <v>614486.098264203</v>
      </c>
      <c r="P857" s="16">
        <f t="shared" si="137"/>
        <v>252689.292702515</v>
      </c>
      <c r="Q857" s="16">
        <f t="shared" si="138"/>
        <v>11.3373134328358</v>
      </c>
      <c r="R857" s="16">
        <f t="shared" si="139"/>
        <v>2.43178526360285</v>
      </c>
      <c r="S857" s="16">
        <v>20.2962962962963</v>
      </c>
    </row>
    <row r="858" spans="1:19">
      <c r="A858" s="5" t="s">
        <v>655</v>
      </c>
      <c r="B858" s="6">
        <v>160</v>
      </c>
      <c r="C858" s="6">
        <v>2.5</v>
      </c>
      <c r="D858" s="6">
        <v>960</v>
      </c>
      <c r="E858" s="6">
        <v>433.2</v>
      </c>
      <c r="F858" s="6">
        <v>32.22</v>
      </c>
      <c r="G858" s="5" t="s">
        <v>20</v>
      </c>
      <c r="H858" s="6">
        <v>1426</v>
      </c>
      <c r="I858" s="14">
        <f t="shared" si="130"/>
        <v>20106.1929829747</v>
      </c>
      <c r="J858" s="15">
        <f t="shared" si="131"/>
        <v>1237.00210735098</v>
      </c>
      <c r="K858" s="15">
        <f t="shared" si="132"/>
        <v>18869.1908756237</v>
      </c>
      <c r="L858" s="15">
        <f t="shared" si="133"/>
        <v>0.0615234375</v>
      </c>
      <c r="M858" s="15">
        <f t="shared" si="134"/>
        <v>0.0655567117585848</v>
      </c>
      <c r="N858" s="16">
        <f t="shared" si="135"/>
        <v>64</v>
      </c>
      <c r="O858" s="16">
        <f t="shared" si="136"/>
        <v>535869.312904445</v>
      </c>
      <c r="P858" s="16">
        <f t="shared" si="137"/>
        <v>607965.330012595</v>
      </c>
      <c r="Q858" s="16">
        <f t="shared" si="138"/>
        <v>13.4450651769088</v>
      </c>
      <c r="R858" s="16">
        <f t="shared" si="139"/>
        <v>0.881414262377993</v>
      </c>
      <c r="S858" s="16">
        <v>24</v>
      </c>
    </row>
    <row r="859" spans="1:19">
      <c r="A859" s="5" t="s">
        <v>656</v>
      </c>
      <c r="B859" s="6">
        <v>140</v>
      </c>
      <c r="C859" s="6">
        <v>2.5</v>
      </c>
      <c r="D859" s="6">
        <v>840</v>
      </c>
      <c r="E859" s="6">
        <v>433.2</v>
      </c>
      <c r="F859" s="6">
        <v>38.88</v>
      </c>
      <c r="G859" s="5" t="s">
        <v>20</v>
      </c>
      <c r="H859" s="6">
        <v>1124</v>
      </c>
      <c r="I859" s="14">
        <f t="shared" si="130"/>
        <v>15393.80400259</v>
      </c>
      <c r="J859" s="15">
        <f t="shared" si="131"/>
        <v>1079.92247467149</v>
      </c>
      <c r="K859" s="15">
        <f t="shared" si="132"/>
        <v>14313.8815279185</v>
      </c>
      <c r="L859" s="15">
        <f t="shared" si="133"/>
        <v>0.0701530612244898</v>
      </c>
      <c r="M859" s="15">
        <f t="shared" si="134"/>
        <v>0.0754458161865569</v>
      </c>
      <c r="N859" s="16">
        <f t="shared" si="135"/>
        <v>56</v>
      </c>
      <c r="O859" s="16">
        <f t="shared" si="136"/>
        <v>467822.41602769</v>
      </c>
      <c r="P859" s="16">
        <f t="shared" si="137"/>
        <v>556523.713805471</v>
      </c>
      <c r="Q859" s="16">
        <f t="shared" si="138"/>
        <v>11.141975308642</v>
      </c>
      <c r="R859" s="16">
        <f t="shared" si="139"/>
        <v>0.840615421090958</v>
      </c>
      <c r="S859" s="16">
        <v>24</v>
      </c>
    </row>
    <row r="860" spans="1:19">
      <c r="A860" s="5" t="s">
        <v>657</v>
      </c>
      <c r="B860" s="6">
        <v>140</v>
      </c>
      <c r="C860" s="6">
        <v>3</v>
      </c>
      <c r="D860" s="6">
        <v>840</v>
      </c>
      <c r="E860" s="6">
        <v>426.3</v>
      </c>
      <c r="F860" s="6">
        <v>33.06</v>
      </c>
      <c r="G860" s="5" t="s">
        <v>20</v>
      </c>
      <c r="H860" s="6">
        <v>1208</v>
      </c>
      <c r="I860" s="14">
        <f t="shared" si="130"/>
        <v>15393.80400259</v>
      </c>
      <c r="J860" s="15">
        <f t="shared" si="131"/>
        <v>1291.19458062541</v>
      </c>
      <c r="K860" s="15">
        <f t="shared" si="132"/>
        <v>14102.6094219646</v>
      </c>
      <c r="L860" s="15">
        <f t="shared" si="133"/>
        <v>0.0838775510204082</v>
      </c>
      <c r="M860" s="15">
        <f t="shared" si="134"/>
        <v>0.0915571396747605</v>
      </c>
      <c r="N860" s="16">
        <f t="shared" si="135"/>
        <v>46.6666666666667</v>
      </c>
      <c r="O860" s="16">
        <f t="shared" si="136"/>
        <v>550436.24972061</v>
      </c>
      <c r="P860" s="16">
        <f t="shared" si="137"/>
        <v>466232.267490149</v>
      </c>
      <c r="Q860" s="16">
        <f t="shared" si="138"/>
        <v>12.8947368421053</v>
      </c>
      <c r="R860" s="16">
        <f t="shared" si="139"/>
        <v>1.18060522212191</v>
      </c>
      <c r="S860" s="16">
        <v>24</v>
      </c>
    </row>
    <row r="861" spans="1:19">
      <c r="A861" s="5" t="s">
        <v>658</v>
      </c>
      <c r="B861" s="6">
        <v>100</v>
      </c>
      <c r="C861" s="6">
        <v>2.5</v>
      </c>
      <c r="D861" s="6">
        <v>600</v>
      </c>
      <c r="E861" s="6">
        <v>433.2</v>
      </c>
      <c r="F861" s="6">
        <v>45.77</v>
      </c>
      <c r="G861" s="5" t="s">
        <v>20</v>
      </c>
      <c r="H861" s="6">
        <v>750</v>
      </c>
      <c r="I861" s="14">
        <f t="shared" si="130"/>
        <v>7853.98163397448</v>
      </c>
      <c r="J861" s="15">
        <f t="shared" si="131"/>
        <v>765.763209312512</v>
      </c>
      <c r="K861" s="15">
        <f t="shared" si="132"/>
        <v>7088.21842466197</v>
      </c>
      <c r="L861" s="15">
        <f t="shared" si="133"/>
        <v>0.0975</v>
      </c>
      <c r="M861" s="15">
        <f t="shared" si="134"/>
        <v>0.10803324099723</v>
      </c>
      <c r="N861" s="16">
        <f t="shared" si="135"/>
        <v>40</v>
      </c>
      <c r="O861" s="16">
        <f t="shared" si="136"/>
        <v>331728.62227418</v>
      </c>
      <c r="P861" s="16">
        <f t="shared" si="137"/>
        <v>324427.757296778</v>
      </c>
      <c r="Q861" s="16">
        <f t="shared" si="138"/>
        <v>9.46471487874153</v>
      </c>
      <c r="R861" s="16">
        <f t="shared" si="139"/>
        <v>1.02250382346515</v>
      </c>
      <c r="S861" s="16">
        <v>24</v>
      </c>
    </row>
    <row r="862" spans="1:19">
      <c r="A862" s="5" t="s">
        <v>659</v>
      </c>
      <c r="B862" s="6">
        <v>100</v>
      </c>
      <c r="C862" s="6">
        <v>3</v>
      </c>
      <c r="D862" s="6">
        <v>600</v>
      </c>
      <c r="E862" s="6">
        <v>426.3</v>
      </c>
      <c r="F862" s="6">
        <v>29.13</v>
      </c>
      <c r="G862" s="5" t="s">
        <v>20</v>
      </c>
      <c r="H862" s="6">
        <v>723</v>
      </c>
      <c r="I862" s="14">
        <f t="shared" si="130"/>
        <v>7853.98163397448</v>
      </c>
      <c r="J862" s="15">
        <f t="shared" si="131"/>
        <v>914.20346219463</v>
      </c>
      <c r="K862" s="15">
        <f t="shared" si="132"/>
        <v>6939.77817177985</v>
      </c>
      <c r="L862" s="15">
        <f t="shared" si="133"/>
        <v>0.1164</v>
      </c>
      <c r="M862" s="15">
        <f t="shared" si="134"/>
        <v>0.131733816206428</v>
      </c>
      <c r="N862" s="16">
        <f t="shared" si="135"/>
        <v>33.3333333333333</v>
      </c>
      <c r="O862" s="16">
        <f t="shared" si="136"/>
        <v>389724.935933571</v>
      </c>
      <c r="P862" s="16">
        <f t="shared" si="137"/>
        <v>202155.738143947</v>
      </c>
      <c r="Q862" s="16">
        <f t="shared" si="138"/>
        <v>14.6343975283213</v>
      </c>
      <c r="R862" s="16">
        <f t="shared" si="139"/>
        <v>1.92784503428769</v>
      </c>
      <c r="S862" s="16">
        <v>24</v>
      </c>
    </row>
    <row r="863" spans="1:19">
      <c r="A863" s="5" t="s">
        <v>660</v>
      </c>
      <c r="B863" s="6">
        <v>210</v>
      </c>
      <c r="C863" s="6">
        <v>2.5</v>
      </c>
      <c r="D863" s="6">
        <v>1040</v>
      </c>
      <c r="E863" s="6">
        <v>237.2</v>
      </c>
      <c r="F863" s="6">
        <v>27.07</v>
      </c>
      <c r="G863" s="5" t="s">
        <v>20</v>
      </c>
      <c r="H863" s="6">
        <v>1607</v>
      </c>
      <c r="I863" s="14">
        <f t="shared" si="130"/>
        <v>34636.0590058275</v>
      </c>
      <c r="J863" s="15">
        <f t="shared" si="131"/>
        <v>1629.70118904971</v>
      </c>
      <c r="K863" s="15">
        <f t="shared" si="132"/>
        <v>33006.3578167778</v>
      </c>
      <c r="L863" s="15">
        <f t="shared" si="133"/>
        <v>0.0470521541950113</v>
      </c>
      <c r="M863" s="15">
        <f t="shared" si="134"/>
        <v>0.0493753718024985</v>
      </c>
      <c r="N863" s="16">
        <f t="shared" si="135"/>
        <v>84</v>
      </c>
      <c r="O863" s="16">
        <f t="shared" si="136"/>
        <v>386565.12204259</v>
      </c>
      <c r="P863" s="16">
        <f t="shared" si="137"/>
        <v>893482.106100174</v>
      </c>
      <c r="Q863" s="16">
        <f t="shared" si="138"/>
        <v>8.76246767639453</v>
      </c>
      <c r="R863" s="16">
        <f t="shared" si="139"/>
        <v>0.432650099429355</v>
      </c>
      <c r="S863" s="16">
        <v>19.8095238095238</v>
      </c>
    </row>
    <row r="864" spans="1:19">
      <c r="A864" s="5" t="s">
        <v>661</v>
      </c>
      <c r="B864" s="6">
        <v>250</v>
      </c>
      <c r="C864" s="6">
        <v>7</v>
      </c>
      <c r="D864" s="6">
        <v>1480</v>
      </c>
      <c r="E864" s="6">
        <v>243</v>
      </c>
      <c r="F864" s="6">
        <v>46.57</v>
      </c>
      <c r="G864" s="5" t="s">
        <v>20</v>
      </c>
      <c r="H864" s="6">
        <v>4116</v>
      </c>
      <c r="I864" s="14">
        <f t="shared" si="130"/>
        <v>49087.3852123405</v>
      </c>
      <c r="J864" s="15">
        <f t="shared" si="131"/>
        <v>5343.84910375624</v>
      </c>
      <c r="K864" s="15">
        <f t="shared" si="132"/>
        <v>43743.5361085843</v>
      </c>
      <c r="L864" s="15">
        <f t="shared" si="133"/>
        <v>0.108864</v>
      </c>
      <c r="M864" s="15">
        <f t="shared" si="134"/>
        <v>0.122163171502442</v>
      </c>
      <c r="N864" s="16">
        <f t="shared" si="135"/>
        <v>35.7142857142857</v>
      </c>
      <c r="O864" s="16">
        <f t="shared" si="136"/>
        <v>1298555.33221277</v>
      </c>
      <c r="P864" s="16">
        <f t="shared" si="137"/>
        <v>2037136.47657677</v>
      </c>
      <c r="Q864" s="16">
        <f t="shared" si="138"/>
        <v>5.21795147090402</v>
      </c>
      <c r="R864" s="16">
        <f t="shared" si="139"/>
        <v>0.637441500431466</v>
      </c>
      <c r="S864" s="16">
        <v>23.68</v>
      </c>
    </row>
    <row r="865" spans="1:19">
      <c r="A865" s="5" t="s">
        <v>662</v>
      </c>
      <c r="B865" s="6">
        <v>240</v>
      </c>
      <c r="C865" s="6">
        <v>10</v>
      </c>
      <c r="D865" s="6">
        <v>1440</v>
      </c>
      <c r="E865" s="6">
        <v>269</v>
      </c>
      <c r="F865" s="6">
        <v>49.8</v>
      </c>
      <c r="G865" s="5" t="s">
        <v>20</v>
      </c>
      <c r="H865" s="6">
        <v>5135</v>
      </c>
      <c r="I865" s="14">
        <f t="shared" si="130"/>
        <v>45238.934211693</v>
      </c>
      <c r="J865" s="15">
        <f t="shared" si="131"/>
        <v>7225.66310325652</v>
      </c>
      <c r="K865" s="15">
        <f t="shared" si="132"/>
        <v>38013.2711084365</v>
      </c>
      <c r="L865" s="15">
        <f t="shared" si="133"/>
        <v>0.159722222222222</v>
      </c>
      <c r="M865" s="15">
        <f t="shared" si="134"/>
        <v>0.190082644628099</v>
      </c>
      <c r="N865" s="16">
        <f t="shared" si="135"/>
        <v>24</v>
      </c>
      <c r="O865" s="16">
        <f t="shared" si="136"/>
        <v>1943703.374776</v>
      </c>
      <c r="P865" s="16">
        <f t="shared" si="137"/>
        <v>1893060.90120014</v>
      </c>
      <c r="Q865" s="16">
        <f t="shared" si="138"/>
        <v>5.40160642570281</v>
      </c>
      <c r="R865" s="16">
        <f t="shared" si="139"/>
        <v>1.02675163463772</v>
      </c>
      <c r="S865" s="16">
        <v>24</v>
      </c>
    </row>
    <row r="866" spans="1:19">
      <c r="A866" s="5" t="s">
        <v>663</v>
      </c>
      <c r="B866" s="6">
        <v>166</v>
      </c>
      <c r="C866" s="6">
        <v>5</v>
      </c>
      <c r="D866" s="6">
        <v>1040</v>
      </c>
      <c r="E866" s="6">
        <v>288.1</v>
      </c>
      <c r="F866" s="6">
        <v>54.33</v>
      </c>
      <c r="G866" s="5" t="s">
        <v>20</v>
      </c>
      <c r="H866" s="6">
        <v>1862</v>
      </c>
      <c r="I866" s="14">
        <f t="shared" si="130"/>
        <v>21642.4317905801</v>
      </c>
      <c r="J866" s="15">
        <f t="shared" si="131"/>
        <v>2528.98208613978</v>
      </c>
      <c r="K866" s="15">
        <f t="shared" si="132"/>
        <v>19113.4497044403</v>
      </c>
      <c r="L866" s="15">
        <f t="shared" si="133"/>
        <v>0.116852953984613</v>
      </c>
      <c r="M866" s="15">
        <f t="shared" si="134"/>
        <v>0.132314266929652</v>
      </c>
      <c r="N866" s="16">
        <f t="shared" si="135"/>
        <v>33.2</v>
      </c>
      <c r="O866" s="16">
        <f t="shared" si="136"/>
        <v>728599.739016872</v>
      </c>
      <c r="P866" s="16">
        <f t="shared" si="137"/>
        <v>1038433.72244224</v>
      </c>
      <c r="Q866" s="16">
        <f t="shared" si="138"/>
        <v>5.30277931161421</v>
      </c>
      <c r="R866" s="16">
        <f t="shared" si="139"/>
        <v>0.701633357305956</v>
      </c>
      <c r="S866" s="16">
        <v>25.0602409638554</v>
      </c>
    </row>
    <row r="867" spans="1:19">
      <c r="A867" s="5" t="s">
        <v>664</v>
      </c>
      <c r="B867" s="6">
        <v>166</v>
      </c>
      <c r="C867" s="6">
        <v>5</v>
      </c>
      <c r="D867" s="6">
        <v>1040</v>
      </c>
      <c r="E867" s="6">
        <v>288.1</v>
      </c>
      <c r="F867" s="6">
        <v>43.89</v>
      </c>
      <c r="G867" s="5" t="s">
        <v>20</v>
      </c>
      <c r="H867" s="6">
        <v>1764</v>
      </c>
      <c r="I867" s="14">
        <f t="shared" si="130"/>
        <v>21642.4317905801</v>
      </c>
      <c r="J867" s="15">
        <f t="shared" si="131"/>
        <v>2528.98208613978</v>
      </c>
      <c r="K867" s="15">
        <f t="shared" si="132"/>
        <v>19113.4497044403</v>
      </c>
      <c r="L867" s="15">
        <f t="shared" si="133"/>
        <v>0.116852953984613</v>
      </c>
      <c r="M867" s="15">
        <f t="shared" si="134"/>
        <v>0.132314266929652</v>
      </c>
      <c r="N867" s="16">
        <f t="shared" si="135"/>
        <v>33.2</v>
      </c>
      <c r="O867" s="16">
        <f t="shared" si="136"/>
        <v>728599.739016872</v>
      </c>
      <c r="P867" s="16">
        <f t="shared" si="137"/>
        <v>838889.307527885</v>
      </c>
      <c r="Q867" s="16">
        <f t="shared" si="138"/>
        <v>6.5641376167692</v>
      </c>
      <c r="R867" s="16">
        <f t="shared" si="139"/>
        <v>0.868529056788166</v>
      </c>
      <c r="S867" s="16">
        <v>25.0602409638554</v>
      </c>
    </row>
    <row r="868" spans="1:19">
      <c r="A868" s="5" t="s">
        <v>665</v>
      </c>
      <c r="B868" s="6">
        <v>166</v>
      </c>
      <c r="C868" s="6">
        <v>5</v>
      </c>
      <c r="D868" s="6">
        <v>1040</v>
      </c>
      <c r="E868" s="6">
        <v>288.1</v>
      </c>
      <c r="F868" s="6">
        <v>26.73</v>
      </c>
      <c r="G868" s="5" t="s">
        <v>20</v>
      </c>
      <c r="H868" s="6">
        <v>1372</v>
      </c>
      <c r="I868" s="14">
        <f t="shared" si="130"/>
        <v>21642.4317905801</v>
      </c>
      <c r="J868" s="15">
        <f t="shared" si="131"/>
        <v>2528.98208613978</v>
      </c>
      <c r="K868" s="15">
        <f t="shared" si="132"/>
        <v>19113.4497044403</v>
      </c>
      <c r="L868" s="15">
        <f t="shared" si="133"/>
        <v>0.116852953984613</v>
      </c>
      <c r="M868" s="15">
        <f t="shared" si="134"/>
        <v>0.132314266929652</v>
      </c>
      <c r="N868" s="16">
        <f t="shared" si="135"/>
        <v>33.2</v>
      </c>
      <c r="O868" s="16">
        <f t="shared" si="136"/>
        <v>728599.739016872</v>
      </c>
      <c r="P868" s="16">
        <f t="shared" si="137"/>
        <v>510902.510599689</v>
      </c>
      <c r="Q868" s="16">
        <f t="shared" si="138"/>
        <v>10.778151889263</v>
      </c>
      <c r="R868" s="16">
        <f t="shared" si="139"/>
        <v>1.42610326608427</v>
      </c>
      <c r="S868" s="16">
        <v>25.0602409638554</v>
      </c>
    </row>
    <row r="869" spans="1:19">
      <c r="A869" s="5" t="s">
        <v>666</v>
      </c>
      <c r="B869" s="6">
        <v>166</v>
      </c>
      <c r="C869" s="6">
        <v>5</v>
      </c>
      <c r="D869" s="6">
        <v>1040</v>
      </c>
      <c r="E869" s="6">
        <v>288.1</v>
      </c>
      <c r="F869" s="6">
        <v>29.72</v>
      </c>
      <c r="G869" s="5" t="s">
        <v>20</v>
      </c>
      <c r="H869" s="6">
        <v>1495</v>
      </c>
      <c r="I869" s="14">
        <f t="shared" si="130"/>
        <v>21642.4317905801</v>
      </c>
      <c r="J869" s="15">
        <f t="shared" si="131"/>
        <v>2528.98208613978</v>
      </c>
      <c r="K869" s="15">
        <f t="shared" si="132"/>
        <v>19113.4497044403</v>
      </c>
      <c r="L869" s="15">
        <f t="shared" si="133"/>
        <v>0.116852953984613</v>
      </c>
      <c r="M869" s="15">
        <f t="shared" si="134"/>
        <v>0.132314266929652</v>
      </c>
      <c r="N869" s="16">
        <f t="shared" si="135"/>
        <v>33.2</v>
      </c>
      <c r="O869" s="16">
        <f t="shared" si="136"/>
        <v>728599.739016872</v>
      </c>
      <c r="P869" s="16">
        <f t="shared" si="137"/>
        <v>568051.725215966</v>
      </c>
      <c r="Q869" s="16">
        <f t="shared" si="138"/>
        <v>9.69380888290713</v>
      </c>
      <c r="R869" s="16">
        <f t="shared" si="139"/>
        <v>1.282629216098</v>
      </c>
      <c r="S869" s="16">
        <v>25.0602409638554</v>
      </c>
    </row>
    <row r="870" spans="1:19">
      <c r="A870" s="5" t="s">
        <v>667</v>
      </c>
      <c r="B870" s="6">
        <v>166</v>
      </c>
      <c r="C870" s="6">
        <v>5</v>
      </c>
      <c r="D870" s="6">
        <v>1040</v>
      </c>
      <c r="E870" s="6">
        <v>288.1</v>
      </c>
      <c r="F870" s="6">
        <v>23</v>
      </c>
      <c r="G870" s="5" t="s">
        <v>20</v>
      </c>
      <c r="H870" s="6">
        <v>1392</v>
      </c>
      <c r="I870" s="14">
        <f t="shared" si="130"/>
        <v>21642.4317905801</v>
      </c>
      <c r="J870" s="15">
        <f t="shared" si="131"/>
        <v>2528.98208613978</v>
      </c>
      <c r="K870" s="15">
        <f t="shared" si="132"/>
        <v>19113.4497044403</v>
      </c>
      <c r="L870" s="15">
        <f t="shared" si="133"/>
        <v>0.116852953984613</v>
      </c>
      <c r="M870" s="15">
        <f t="shared" si="134"/>
        <v>0.132314266929652</v>
      </c>
      <c r="N870" s="16">
        <f t="shared" si="135"/>
        <v>33.2</v>
      </c>
      <c r="O870" s="16">
        <f t="shared" si="136"/>
        <v>728599.739016872</v>
      </c>
      <c r="P870" s="16">
        <f t="shared" si="137"/>
        <v>439609.343202127</v>
      </c>
      <c r="Q870" s="16">
        <f t="shared" si="138"/>
        <v>12.5260869565217</v>
      </c>
      <c r="R870" s="16">
        <f t="shared" si="139"/>
        <v>1.65738001314924</v>
      </c>
      <c r="S870" s="16">
        <v>25.0602409638554</v>
      </c>
    </row>
    <row r="871" spans="1:19">
      <c r="A871" s="5" t="s">
        <v>668</v>
      </c>
      <c r="B871" s="6">
        <v>166</v>
      </c>
      <c r="C871" s="6">
        <v>5</v>
      </c>
      <c r="D871" s="6">
        <v>1040</v>
      </c>
      <c r="E871" s="6">
        <v>288.1</v>
      </c>
      <c r="F871" s="6">
        <v>44.11</v>
      </c>
      <c r="G871" s="5" t="s">
        <v>20</v>
      </c>
      <c r="H871" s="6">
        <v>1695</v>
      </c>
      <c r="I871" s="14">
        <f t="shared" si="130"/>
        <v>21642.4317905801</v>
      </c>
      <c r="J871" s="15">
        <f t="shared" si="131"/>
        <v>2528.98208613978</v>
      </c>
      <c r="K871" s="15">
        <f t="shared" si="132"/>
        <v>19113.4497044403</v>
      </c>
      <c r="L871" s="15">
        <f t="shared" si="133"/>
        <v>0.116852953984613</v>
      </c>
      <c r="M871" s="15">
        <f t="shared" si="134"/>
        <v>0.132314266929652</v>
      </c>
      <c r="N871" s="16">
        <f t="shared" si="135"/>
        <v>33.2</v>
      </c>
      <c r="O871" s="16">
        <f t="shared" si="136"/>
        <v>728599.739016872</v>
      </c>
      <c r="P871" s="16">
        <f t="shared" si="137"/>
        <v>843094.266462862</v>
      </c>
      <c r="Q871" s="16">
        <f t="shared" si="138"/>
        <v>6.5313987757878</v>
      </c>
      <c r="R871" s="16">
        <f t="shared" si="139"/>
        <v>0.864197241043587</v>
      </c>
      <c r="S871" s="16">
        <v>25.0602409638554</v>
      </c>
    </row>
    <row r="872" spans="1:19">
      <c r="A872" s="5" t="s">
        <v>669</v>
      </c>
      <c r="B872" s="6">
        <v>166</v>
      </c>
      <c r="C872" s="6">
        <v>5</v>
      </c>
      <c r="D872" s="6">
        <v>1040</v>
      </c>
      <c r="E872" s="6">
        <v>288.1</v>
      </c>
      <c r="F872" s="6">
        <v>55.65</v>
      </c>
      <c r="G872" s="5" t="s">
        <v>20</v>
      </c>
      <c r="H872" s="6">
        <v>1852</v>
      </c>
      <c r="I872" s="14">
        <f t="shared" si="130"/>
        <v>21642.4317905801</v>
      </c>
      <c r="J872" s="15">
        <f t="shared" si="131"/>
        <v>2528.98208613978</v>
      </c>
      <c r="K872" s="15">
        <f t="shared" si="132"/>
        <v>19113.4497044403</v>
      </c>
      <c r="L872" s="15">
        <f t="shared" si="133"/>
        <v>0.116852953984613</v>
      </c>
      <c r="M872" s="15">
        <f t="shared" si="134"/>
        <v>0.132314266929652</v>
      </c>
      <c r="N872" s="16">
        <f t="shared" si="135"/>
        <v>33.2</v>
      </c>
      <c r="O872" s="16">
        <f t="shared" si="136"/>
        <v>728599.739016872</v>
      </c>
      <c r="P872" s="16">
        <f t="shared" si="137"/>
        <v>1063663.4760521</v>
      </c>
      <c r="Q872" s="16">
        <f t="shared" si="138"/>
        <v>5.1769991015274</v>
      </c>
      <c r="R872" s="16">
        <f t="shared" si="139"/>
        <v>0.684990841014063</v>
      </c>
      <c r="S872" s="16">
        <v>25.0602409638554</v>
      </c>
    </row>
    <row r="873" spans="1:19">
      <c r="A873" s="5" t="s">
        <v>670</v>
      </c>
      <c r="B873" s="6">
        <v>166</v>
      </c>
      <c r="C873" s="6">
        <v>5</v>
      </c>
      <c r="D873" s="6">
        <v>1040</v>
      </c>
      <c r="E873" s="6">
        <v>288.1</v>
      </c>
      <c r="F873" s="6">
        <v>37.75</v>
      </c>
      <c r="G873" s="5" t="s">
        <v>20</v>
      </c>
      <c r="H873" s="6">
        <v>1627</v>
      </c>
      <c r="I873" s="14">
        <f t="shared" si="130"/>
        <v>21642.4317905801</v>
      </c>
      <c r="J873" s="15">
        <f t="shared" si="131"/>
        <v>2528.98208613978</v>
      </c>
      <c r="K873" s="15">
        <f t="shared" si="132"/>
        <v>19113.4497044403</v>
      </c>
      <c r="L873" s="15">
        <f t="shared" si="133"/>
        <v>0.116852953984613</v>
      </c>
      <c r="M873" s="15">
        <f t="shared" si="134"/>
        <v>0.132314266929652</v>
      </c>
      <c r="N873" s="16">
        <f t="shared" si="135"/>
        <v>33.2</v>
      </c>
      <c r="O873" s="16">
        <f t="shared" si="136"/>
        <v>728599.739016872</v>
      </c>
      <c r="P873" s="16">
        <f t="shared" si="137"/>
        <v>721532.726342621</v>
      </c>
      <c r="Q873" s="16">
        <f t="shared" si="138"/>
        <v>7.6317880794702</v>
      </c>
      <c r="R873" s="16">
        <f t="shared" si="139"/>
        <v>1.00979444509755</v>
      </c>
      <c r="S873" s="16">
        <v>25.0602409638554</v>
      </c>
    </row>
    <row r="874" spans="1:19">
      <c r="A874" s="5" t="s">
        <v>671</v>
      </c>
      <c r="B874" s="6">
        <v>140</v>
      </c>
      <c r="C874" s="6">
        <v>5.3</v>
      </c>
      <c r="D874" s="6">
        <v>840</v>
      </c>
      <c r="E874" s="6">
        <v>378.3</v>
      </c>
      <c r="F874" s="6">
        <v>21.86</v>
      </c>
      <c r="G874" s="5" t="s">
        <v>20</v>
      </c>
      <c r="H874" s="6">
        <v>1326</v>
      </c>
      <c r="I874" s="14">
        <f t="shared" si="130"/>
        <v>15393.80400259</v>
      </c>
      <c r="J874" s="15">
        <f t="shared" si="131"/>
        <v>2242.81441132429</v>
      </c>
      <c r="K874" s="15">
        <f t="shared" si="132"/>
        <v>13150.9895912657</v>
      </c>
      <c r="L874" s="15">
        <f t="shared" si="133"/>
        <v>0.145695918367347</v>
      </c>
      <c r="M874" s="15">
        <f t="shared" si="134"/>
        <v>0.170543394910286</v>
      </c>
      <c r="N874" s="16">
        <f t="shared" si="135"/>
        <v>26.4150943396226</v>
      </c>
      <c r="O874" s="16">
        <f t="shared" si="136"/>
        <v>848456.691803979</v>
      </c>
      <c r="P874" s="16">
        <f t="shared" si="137"/>
        <v>287480.632465068</v>
      </c>
      <c r="Q874" s="16">
        <f t="shared" si="138"/>
        <v>17.3055809698079</v>
      </c>
      <c r="R874" s="16">
        <f t="shared" si="139"/>
        <v>2.95135252948588</v>
      </c>
      <c r="S874" s="16">
        <v>24</v>
      </c>
    </row>
    <row r="875" spans="1:19">
      <c r="A875" s="5" t="s">
        <v>672</v>
      </c>
      <c r="B875" s="6">
        <v>140</v>
      </c>
      <c r="C875" s="6">
        <v>5</v>
      </c>
      <c r="D875" s="6">
        <v>840</v>
      </c>
      <c r="E875" s="6">
        <v>378.3</v>
      </c>
      <c r="F875" s="6">
        <v>30.58</v>
      </c>
      <c r="G875" s="5" t="s">
        <v>20</v>
      </c>
      <c r="H875" s="6">
        <v>1379</v>
      </c>
      <c r="I875" s="14">
        <f t="shared" si="130"/>
        <v>15393.80400259</v>
      </c>
      <c r="J875" s="15">
        <f t="shared" si="131"/>
        <v>2120.57504117311</v>
      </c>
      <c r="K875" s="15">
        <f t="shared" si="132"/>
        <v>13273.2289614169</v>
      </c>
      <c r="L875" s="15">
        <f t="shared" si="133"/>
        <v>0.137755102040816</v>
      </c>
      <c r="M875" s="15">
        <f t="shared" si="134"/>
        <v>0.159763313609467</v>
      </c>
      <c r="N875" s="16">
        <f t="shared" si="135"/>
        <v>28</v>
      </c>
      <c r="O875" s="16">
        <f t="shared" si="136"/>
        <v>802213.538075788</v>
      </c>
      <c r="P875" s="16">
        <f t="shared" si="137"/>
        <v>405895.341640128</v>
      </c>
      <c r="Q875" s="16">
        <f t="shared" si="138"/>
        <v>12.3708306082407</v>
      </c>
      <c r="R875" s="16">
        <f t="shared" si="139"/>
        <v>1.97640489007396</v>
      </c>
      <c r="S875" s="16">
        <v>24</v>
      </c>
    </row>
    <row r="876" spans="1:19">
      <c r="A876" s="5" t="s">
        <v>673</v>
      </c>
      <c r="B876" s="6">
        <v>140</v>
      </c>
      <c r="C876" s="6">
        <v>5</v>
      </c>
      <c r="D876" s="6">
        <v>840</v>
      </c>
      <c r="E876" s="6">
        <v>378.3</v>
      </c>
      <c r="F876" s="6">
        <v>34.92</v>
      </c>
      <c r="G876" s="5" t="s">
        <v>20</v>
      </c>
      <c r="H876" s="6">
        <v>1501</v>
      </c>
      <c r="I876" s="14">
        <f t="shared" si="130"/>
        <v>15393.80400259</v>
      </c>
      <c r="J876" s="15">
        <f t="shared" si="131"/>
        <v>2120.57504117311</v>
      </c>
      <c r="K876" s="15">
        <f t="shared" si="132"/>
        <v>13273.2289614169</v>
      </c>
      <c r="L876" s="15">
        <f t="shared" si="133"/>
        <v>0.137755102040816</v>
      </c>
      <c r="M876" s="15">
        <f t="shared" si="134"/>
        <v>0.159763313609467</v>
      </c>
      <c r="N876" s="16">
        <f t="shared" si="135"/>
        <v>28</v>
      </c>
      <c r="O876" s="16">
        <f t="shared" si="136"/>
        <v>802213.538075788</v>
      </c>
      <c r="P876" s="16">
        <f t="shared" si="137"/>
        <v>463501.155332677</v>
      </c>
      <c r="Q876" s="16">
        <f t="shared" si="138"/>
        <v>10.8333333333333</v>
      </c>
      <c r="R876" s="16">
        <f t="shared" si="139"/>
        <v>1.73076923076923</v>
      </c>
      <c r="S876" s="16">
        <v>24</v>
      </c>
    </row>
    <row r="877" spans="1:19">
      <c r="A877" s="5" t="s">
        <v>674</v>
      </c>
      <c r="B877" s="6">
        <v>140</v>
      </c>
      <c r="C877" s="6">
        <v>5.3</v>
      </c>
      <c r="D877" s="6">
        <v>840</v>
      </c>
      <c r="E877" s="6">
        <v>378.3</v>
      </c>
      <c r="F877" s="6">
        <v>51.5</v>
      </c>
      <c r="G877" s="5" t="s">
        <v>20</v>
      </c>
      <c r="H877" s="6">
        <v>1664</v>
      </c>
      <c r="I877" s="14">
        <f t="shared" si="130"/>
        <v>15393.80400259</v>
      </c>
      <c r="J877" s="15">
        <f t="shared" si="131"/>
        <v>2242.81441132429</v>
      </c>
      <c r="K877" s="15">
        <f t="shared" si="132"/>
        <v>13150.9895912657</v>
      </c>
      <c r="L877" s="15">
        <f t="shared" si="133"/>
        <v>0.145695918367347</v>
      </c>
      <c r="M877" s="15">
        <f t="shared" si="134"/>
        <v>0.170543394910286</v>
      </c>
      <c r="N877" s="16">
        <f t="shared" si="135"/>
        <v>26.4150943396226</v>
      </c>
      <c r="O877" s="16">
        <f t="shared" si="136"/>
        <v>848456.691803979</v>
      </c>
      <c r="P877" s="16">
        <f t="shared" si="137"/>
        <v>677275.963950183</v>
      </c>
      <c r="Q877" s="16">
        <f t="shared" si="138"/>
        <v>7.34563106796117</v>
      </c>
      <c r="R877" s="16">
        <f t="shared" si="139"/>
        <v>1.25274886008857</v>
      </c>
      <c r="S877" s="16">
        <v>24</v>
      </c>
    </row>
    <row r="878" spans="1:19">
      <c r="A878" s="5" t="s">
        <v>675</v>
      </c>
      <c r="B878" s="6">
        <v>140</v>
      </c>
      <c r="C878" s="6">
        <v>5</v>
      </c>
      <c r="D878" s="6">
        <v>840</v>
      </c>
      <c r="E878" s="6">
        <v>378.3</v>
      </c>
      <c r="F878" s="6">
        <v>42.25</v>
      </c>
      <c r="G878" s="5" t="s">
        <v>20</v>
      </c>
      <c r="H878" s="6">
        <v>1539</v>
      </c>
      <c r="I878" s="14">
        <f t="shared" si="130"/>
        <v>15393.80400259</v>
      </c>
      <c r="J878" s="15">
        <f t="shared" si="131"/>
        <v>2120.57504117311</v>
      </c>
      <c r="K878" s="15">
        <f t="shared" si="132"/>
        <v>13273.2289614169</v>
      </c>
      <c r="L878" s="15">
        <f t="shared" si="133"/>
        <v>0.137755102040816</v>
      </c>
      <c r="M878" s="15">
        <f t="shared" si="134"/>
        <v>0.159763313609467</v>
      </c>
      <c r="N878" s="16">
        <f t="shared" si="135"/>
        <v>28</v>
      </c>
      <c r="O878" s="16">
        <f t="shared" si="136"/>
        <v>802213.538075788</v>
      </c>
      <c r="P878" s="16">
        <f t="shared" si="137"/>
        <v>560793.923619863</v>
      </c>
      <c r="Q878" s="16">
        <f t="shared" si="138"/>
        <v>8.95384615384615</v>
      </c>
      <c r="R878" s="16">
        <f t="shared" si="139"/>
        <v>1.43049613108785</v>
      </c>
      <c r="S878" s="16">
        <v>24</v>
      </c>
    </row>
    <row r="879" spans="1:19">
      <c r="A879" s="5" t="s">
        <v>676</v>
      </c>
      <c r="B879" s="6">
        <v>92</v>
      </c>
      <c r="C879" s="6">
        <v>3</v>
      </c>
      <c r="D879" s="6">
        <v>920</v>
      </c>
      <c r="E879" s="6">
        <v>260.7</v>
      </c>
      <c r="F879" s="6">
        <v>20.71</v>
      </c>
      <c r="G879" s="5" t="s">
        <v>20</v>
      </c>
      <c r="H879" s="6">
        <v>431</v>
      </c>
      <c r="I879" s="14">
        <f t="shared" si="130"/>
        <v>6647.610054996</v>
      </c>
      <c r="J879" s="15">
        <f t="shared" si="131"/>
        <v>838.805238508475</v>
      </c>
      <c r="K879" s="15">
        <f t="shared" si="132"/>
        <v>5808.80481648753</v>
      </c>
      <c r="L879" s="15">
        <f t="shared" si="133"/>
        <v>0.126181474480151</v>
      </c>
      <c r="M879" s="15">
        <f t="shared" si="134"/>
        <v>0.144402379664684</v>
      </c>
      <c r="N879" s="16">
        <f t="shared" si="135"/>
        <v>30.6666666666667</v>
      </c>
      <c r="O879" s="16">
        <f t="shared" si="136"/>
        <v>218676.525679159</v>
      </c>
      <c r="P879" s="16">
        <f t="shared" si="137"/>
        <v>120300.347749457</v>
      </c>
      <c r="Q879" s="16">
        <f t="shared" si="138"/>
        <v>12.5881216803477</v>
      </c>
      <c r="R879" s="16">
        <f t="shared" si="139"/>
        <v>1.8177547261508</v>
      </c>
      <c r="S879" s="16">
        <v>40</v>
      </c>
    </row>
    <row r="880" spans="1:19">
      <c r="A880" s="5" t="s">
        <v>677</v>
      </c>
      <c r="B880" s="6">
        <v>92</v>
      </c>
      <c r="C880" s="6">
        <v>3</v>
      </c>
      <c r="D880" s="6">
        <v>1380</v>
      </c>
      <c r="E880" s="6">
        <v>260.7</v>
      </c>
      <c r="F880" s="6">
        <v>20.71</v>
      </c>
      <c r="G880" s="5" t="s">
        <v>20</v>
      </c>
      <c r="H880" s="6">
        <v>409</v>
      </c>
      <c r="I880" s="14">
        <f t="shared" si="130"/>
        <v>6647.610054996</v>
      </c>
      <c r="J880" s="15">
        <f t="shared" si="131"/>
        <v>838.805238508475</v>
      </c>
      <c r="K880" s="15">
        <f t="shared" si="132"/>
        <v>5808.80481648753</v>
      </c>
      <c r="L880" s="15">
        <f t="shared" si="133"/>
        <v>0.126181474480151</v>
      </c>
      <c r="M880" s="15">
        <f t="shared" si="134"/>
        <v>0.144402379664684</v>
      </c>
      <c r="N880" s="16">
        <f t="shared" si="135"/>
        <v>30.6666666666667</v>
      </c>
      <c r="O880" s="16">
        <f t="shared" si="136"/>
        <v>218676.525679159</v>
      </c>
      <c r="P880" s="16">
        <f t="shared" si="137"/>
        <v>120300.347749457</v>
      </c>
      <c r="Q880" s="16">
        <f t="shared" si="138"/>
        <v>12.5881216803477</v>
      </c>
      <c r="R880" s="16">
        <f t="shared" si="139"/>
        <v>1.8177547261508</v>
      </c>
      <c r="S880" s="16">
        <v>60</v>
      </c>
    </row>
    <row r="881" spans="1:19">
      <c r="A881" s="5" t="s">
        <v>678</v>
      </c>
      <c r="B881" s="6">
        <v>108</v>
      </c>
      <c r="C881" s="6">
        <v>4.5</v>
      </c>
      <c r="D881" s="6">
        <v>648</v>
      </c>
      <c r="E881" s="6">
        <v>259.7</v>
      </c>
      <c r="F881" s="6">
        <v>20.22</v>
      </c>
      <c r="G881" s="5" t="s">
        <v>20</v>
      </c>
      <c r="H881" s="6">
        <v>665</v>
      </c>
      <c r="I881" s="14">
        <f t="shared" si="130"/>
        <v>9160.88417786784</v>
      </c>
      <c r="J881" s="15">
        <f t="shared" si="131"/>
        <v>1463.19677840945</v>
      </c>
      <c r="K881" s="15">
        <f t="shared" si="132"/>
        <v>7697.68739945839</v>
      </c>
      <c r="L881" s="15">
        <f t="shared" si="133"/>
        <v>0.159722222222222</v>
      </c>
      <c r="M881" s="15">
        <f t="shared" si="134"/>
        <v>0.190082644628099</v>
      </c>
      <c r="N881" s="16">
        <f t="shared" si="135"/>
        <v>24</v>
      </c>
      <c r="O881" s="16">
        <f t="shared" si="136"/>
        <v>379992.203352933</v>
      </c>
      <c r="P881" s="16">
        <f t="shared" si="137"/>
        <v>155647.239217049</v>
      </c>
      <c r="Q881" s="16">
        <f t="shared" si="138"/>
        <v>12.8437190900099</v>
      </c>
      <c r="R881" s="16">
        <f t="shared" si="139"/>
        <v>2.44136809148948</v>
      </c>
      <c r="S881" s="16">
        <v>24</v>
      </c>
    </row>
    <row r="882" spans="1:19">
      <c r="A882" s="5" t="s">
        <v>679</v>
      </c>
      <c r="B882" s="6">
        <v>108</v>
      </c>
      <c r="C882" s="6">
        <v>4.5</v>
      </c>
      <c r="D882" s="6">
        <v>972</v>
      </c>
      <c r="E882" s="6">
        <v>259.7</v>
      </c>
      <c r="F882" s="6">
        <v>20.22</v>
      </c>
      <c r="G882" s="5" t="s">
        <v>20</v>
      </c>
      <c r="H882" s="6">
        <v>666</v>
      </c>
      <c r="I882" s="14">
        <f t="shared" si="130"/>
        <v>9160.88417786784</v>
      </c>
      <c r="J882" s="15">
        <f t="shared" si="131"/>
        <v>1463.19677840945</v>
      </c>
      <c r="K882" s="15">
        <f t="shared" si="132"/>
        <v>7697.68739945839</v>
      </c>
      <c r="L882" s="15">
        <f t="shared" si="133"/>
        <v>0.159722222222222</v>
      </c>
      <c r="M882" s="15">
        <f t="shared" si="134"/>
        <v>0.190082644628099</v>
      </c>
      <c r="N882" s="16">
        <f t="shared" si="135"/>
        <v>24</v>
      </c>
      <c r="O882" s="16">
        <f t="shared" si="136"/>
        <v>379992.203352933</v>
      </c>
      <c r="P882" s="16">
        <f t="shared" si="137"/>
        <v>155647.239217049</v>
      </c>
      <c r="Q882" s="16">
        <f t="shared" si="138"/>
        <v>12.8437190900099</v>
      </c>
      <c r="R882" s="16">
        <f t="shared" si="139"/>
        <v>2.44136809148948</v>
      </c>
      <c r="S882" s="16">
        <v>36</v>
      </c>
    </row>
    <row r="883" spans="1:19">
      <c r="A883" s="5" t="s">
        <v>680</v>
      </c>
      <c r="B883" s="6">
        <v>108</v>
      </c>
      <c r="C883" s="6">
        <v>4.5</v>
      </c>
      <c r="D883" s="6">
        <v>1296</v>
      </c>
      <c r="E883" s="6">
        <v>259.7</v>
      </c>
      <c r="F883" s="6">
        <v>20.22</v>
      </c>
      <c r="G883" s="5" t="s">
        <v>20</v>
      </c>
      <c r="H883" s="6">
        <v>563</v>
      </c>
      <c r="I883" s="14">
        <f t="shared" si="130"/>
        <v>9160.88417786784</v>
      </c>
      <c r="J883" s="15">
        <f t="shared" si="131"/>
        <v>1463.19677840945</v>
      </c>
      <c r="K883" s="15">
        <f t="shared" si="132"/>
        <v>7697.68739945839</v>
      </c>
      <c r="L883" s="15">
        <f t="shared" si="133"/>
        <v>0.159722222222222</v>
      </c>
      <c r="M883" s="15">
        <f t="shared" si="134"/>
        <v>0.190082644628099</v>
      </c>
      <c r="N883" s="16">
        <f t="shared" si="135"/>
        <v>24</v>
      </c>
      <c r="O883" s="16">
        <f t="shared" si="136"/>
        <v>379992.203352933</v>
      </c>
      <c r="P883" s="16">
        <f t="shared" si="137"/>
        <v>155647.239217049</v>
      </c>
      <c r="Q883" s="16">
        <f t="shared" si="138"/>
        <v>12.8437190900099</v>
      </c>
      <c r="R883" s="16">
        <f t="shared" si="139"/>
        <v>2.44136809148948</v>
      </c>
      <c r="S883" s="16">
        <v>48</v>
      </c>
    </row>
    <row r="884" spans="1:19">
      <c r="A884" s="5" t="s">
        <v>681</v>
      </c>
      <c r="B884" s="6">
        <v>108</v>
      </c>
      <c r="C884" s="6">
        <v>4.5</v>
      </c>
      <c r="D884" s="6">
        <v>1620</v>
      </c>
      <c r="E884" s="6">
        <v>259.7</v>
      </c>
      <c r="F884" s="6">
        <v>20.22</v>
      </c>
      <c r="G884" s="5" t="s">
        <v>20</v>
      </c>
      <c r="H884" s="6">
        <v>524</v>
      </c>
      <c r="I884" s="14">
        <f t="shared" si="130"/>
        <v>9160.88417786784</v>
      </c>
      <c r="J884" s="15">
        <f t="shared" si="131"/>
        <v>1463.19677840945</v>
      </c>
      <c r="K884" s="15">
        <f t="shared" si="132"/>
        <v>7697.68739945839</v>
      </c>
      <c r="L884" s="15">
        <f t="shared" si="133"/>
        <v>0.159722222222222</v>
      </c>
      <c r="M884" s="15">
        <f t="shared" si="134"/>
        <v>0.190082644628099</v>
      </c>
      <c r="N884" s="16">
        <f t="shared" si="135"/>
        <v>24</v>
      </c>
      <c r="O884" s="16">
        <f t="shared" si="136"/>
        <v>379992.203352933</v>
      </c>
      <c r="P884" s="16">
        <f t="shared" si="137"/>
        <v>155647.239217049</v>
      </c>
      <c r="Q884" s="16">
        <f t="shared" si="138"/>
        <v>12.8437190900099</v>
      </c>
      <c r="R884" s="16">
        <f t="shared" si="139"/>
        <v>2.44136809148948</v>
      </c>
      <c r="S884" s="16">
        <v>60</v>
      </c>
    </row>
    <row r="885" spans="1:19">
      <c r="A885" s="5" t="s">
        <v>682</v>
      </c>
      <c r="B885" s="6">
        <v>108</v>
      </c>
      <c r="C885" s="6">
        <v>4.5</v>
      </c>
      <c r="D885" s="6">
        <v>1994</v>
      </c>
      <c r="E885" s="6">
        <v>259.7</v>
      </c>
      <c r="F885" s="6">
        <v>20.22</v>
      </c>
      <c r="G885" s="5" t="s">
        <v>20</v>
      </c>
      <c r="H885" s="6">
        <v>495</v>
      </c>
      <c r="I885" s="14">
        <f t="shared" si="130"/>
        <v>9160.88417786784</v>
      </c>
      <c r="J885" s="15">
        <f t="shared" si="131"/>
        <v>1463.19677840945</v>
      </c>
      <c r="K885" s="15">
        <f t="shared" si="132"/>
        <v>7697.68739945839</v>
      </c>
      <c r="L885" s="15">
        <f t="shared" si="133"/>
        <v>0.159722222222222</v>
      </c>
      <c r="M885" s="15">
        <f t="shared" si="134"/>
        <v>0.190082644628099</v>
      </c>
      <c r="N885" s="16">
        <f t="shared" si="135"/>
        <v>24</v>
      </c>
      <c r="O885" s="16">
        <f t="shared" si="136"/>
        <v>379992.203352933</v>
      </c>
      <c r="P885" s="16">
        <f t="shared" si="137"/>
        <v>155647.239217049</v>
      </c>
      <c r="Q885" s="16">
        <f t="shared" si="138"/>
        <v>12.8437190900099</v>
      </c>
      <c r="R885" s="16">
        <f t="shared" si="139"/>
        <v>2.44136809148948</v>
      </c>
      <c r="S885" s="16">
        <v>73.8518518518518</v>
      </c>
    </row>
    <row r="886" spans="1:19">
      <c r="A886" s="5" t="s">
        <v>683</v>
      </c>
      <c r="B886" s="6">
        <v>108</v>
      </c>
      <c r="C886" s="6">
        <v>4</v>
      </c>
      <c r="D886" s="6">
        <v>540</v>
      </c>
      <c r="E886" s="6">
        <v>327.1</v>
      </c>
      <c r="F886" s="6">
        <v>39.23</v>
      </c>
      <c r="G886" s="5" t="s">
        <v>20</v>
      </c>
      <c r="H886" s="6">
        <v>836</v>
      </c>
      <c r="I886" s="14">
        <f t="shared" si="130"/>
        <v>9160.88417786784</v>
      </c>
      <c r="J886" s="15">
        <f t="shared" si="131"/>
        <v>1306.90254389335</v>
      </c>
      <c r="K886" s="15">
        <f t="shared" si="132"/>
        <v>7853.98163397448</v>
      </c>
      <c r="L886" s="15">
        <f t="shared" si="133"/>
        <v>0.142661179698217</v>
      </c>
      <c r="M886" s="15">
        <f t="shared" si="134"/>
        <v>0.1664</v>
      </c>
      <c r="N886" s="16">
        <f t="shared" si="135"/>
        <v>27</v>
      </c>
      <c r="O886" s="16">
        <f t="shared" si="136"/>
        <v>427487.822107516</v>
      </c>
      <c r="P886" s="16">
        <f t="shared" si="137"/>
        <v>308111.699500819</v>
      </c>
      <c r="Q886" s="16">
        <f t="shared" si="138"/>
        <v>8.33800662758093</v>
      </c>
      <c r="R886" s="16">
        <f t="shared" si="139"/>
        <v>1.38744430282947</v>
      </c>
      <c r="S886" s="16">
        <v>20</v>
      </c>
    </row>
    <row r="887" spans="1:19">
      <c r="A887" s="5" t="s">
        <v>684</v>
      </c>
      <c r="B887" s="6">
        <v>108</v>
      </c>
      <c r="C887" s="6">
        <v>4</v>
      </c>
      <c r="D887" s="6">
        <v>756</v>
      </c>
      <c r="E887" s="6">
        <v>337.6</v>
      </c>
      <c r="F887" s="6">
        <v>35.33</v>
      </c>
      <c r="G887" s="5" t="s">
        <v>20</v>
      </c>
      <c r="H887" s="6">
        <v>785</v>
      </c>
      <c r="I887" s="14">
        <f t="shared" si="130"/>
        <v>9160.88417786784</v>
      </c>
      <c r="J887" s="15">
        <f t="shared" si="131"/>
        <v>1306.90254389335</v>
      </c>
      <c r="K887" s="15">
        <f t="shared" si="132"/>
        <v>7853.98163397448</v>
      </c>
      <c r="L887" s="15">
        <f t="shared" si="133"/>
        <v>0.142661179698217</v>
      </c>
      <c r="M887" s="15">
        <f t="shared" si="134"/>
        <v>0.1664</v>
      </c>
      <c r="N887" s="16">
        <f t="shared" si="135"/>
        <v>27</v>
      </c>
      <c r="O887" s="16">
        <f t="shared" si="136"/>
        <v>441210.298818396</v>
      </c>
      <c r="P887" s="16">
        <f t="shared" si="137"/>
        <v>277481.171128318</v>
      </c>
      <c r="Q887" s="16">
        <f t="shared" si="138"/>
        <v>9.55561845457119</v>
      </c>
      <c r="R887" s="16">
        <f t="shared" si="139"/>
        <v>1.59005491084065</v>
      </c>
      <c r="S887" s="16">
        <v>28</v>
      </c>
    </row>
    <row r="888" spans="1:19">
      <c r="A888" s="5" t="s">
        <v>685</v>
      </c>
      <c r="B888" s="6">
        <v>108</v>
      </c>
      <c r="C888" s="6">
        <v>4</v>
      </c>
      <c r="D888" s="6">
        <v>972</v>
      </c>
      <c r="E888" s="6">
        <v>337.6</v>
      </c>
      <c r="F888" s="6">
        <v>33.54</v>
      </c>
      <c r="G888" s="5" t="s">
        <v>20</v>
      </c>
      <c r="H888" s="6">
        <v>736</v>
      </c>
      <c r="I888" s="14">
        <f t="shared" si="130"/>
        <v>9160.88417786784</v>
      </c>
      <c r="J888" s="15">
        <f t="shared" si="131"/>
        <v>1306.90254389335</v>
      </c>
      <c r="K888" s="15">
        <f t="shared" si="132"/>
        <v>7853.98163397448</v>
      </c>
      <c r="L888" s="15">
        <f t="shared" si="133"/>
        <v>0.142661179698217</v>
      </c>
      <c r="M888" s="15">
        <f t="shared" si="134"/>
        <v>0.1664</v>
      </c>
      <c r="N888" s="16">
        <f t="shared" si="135"/>
        <v>27</v>
      </c>
      <c r="O888" s="16">
        <f t="shared" si="136"/>
        <v>441210.298818396</v>
      </c>
      <c r="P888" s="16">
        <f t="shared" si="137"/>
        <v>263422.544003504</v>
      </c>
      <c r="Q888" s="16">
        <f t="shared" si="138"/>
        <v>10.0655933214073</v>
      </c>
      <c r="R888" s="16">
        <f t="shared" si="139"/>
        <v>1.67491472868217</v>
      </c>
      <c r="S888" s="16">
        <v>36</v>
      </c>
    </row>
    <row r="889" spans="1:19">
      <c r="A889" s="5" t="s">
        <v>686</v>
      </c>
      <c r="B889" s="6">
        <v>108</v>
      </c>
      <c r="C889" s="6">
        <v>4</v>
      </c>
      <c r="D889" s="6">
        <v>1188</v>
      </c>
      <c r="E889" s="6">
        <v>327.1</v>
      </c>
      <c r="F889" s="6">
        <v>34.03</v>
      </c>
      <c r="G889" s="5" t="s">
        <v>20</v>
      </c>
      <c r="H889" s="6">
        <v>686</v>
      </c>
      <c r="I889" s="14">
        <f t="shared" si="130"/>
        <v>9160.88417786784</v>
      </c>
      <c r="J889" s="15">
        <f t="shared" si="131"/>
        <v>1306.90254389335</v>
      </c>
      <c r="K889" s="15">
        <f t="shared" si="132"/>
        <v>7853.98163397448</v>
      </c>
      <c r="L889" s="15">
        <f t="shared" si="133"/>
        <v>0.142661179698217</v>
      </c>
      <c r="M889" s="15">
        <f t="shared" si="134"/>
        <v>0.1664</v>
      </c>
      <c r="N889" s="16">
        <f t="shared" si="135"/>
        <v>27</v>
      </c>
      <c r="O889" s="16">
        <f t="shared" si="136"/>
        <v>427487.822107516</v>
      </c>
      <c r="P889" s="16">
        <f t="shared" si="137"/>
        <v>267270.995004152</v>
      </c>
      <c r="Q889" s="16">
        <f t="shared" si="138"/>
        <v>9.61210696444314</v>
      </c>
      <c r="R889" s="16">
        <f t="shared" si="139"/>
        <v>1.59945459888334</v>
      </c>
      <c r="S889" s="16">
        <v>44</v>
      </c>
    </row>
    <row r="890" spans="1:19">
      <c r="A890" s="5" t="s">
        <v>687</v>
      </c>
      <c r="B890" s="6">
        <v>108</v>
      </c>
      <c r="C890" s="6">
        <v>4</v>
      </c>
      <c r="D890" s="6">
        <v>1404</v>
      </c>
      <c r="E890" s="6">
        <v>332</v>
      </c>
      <c r="F890" s="6">
        <v>33.15</v>
      </c>
      <c r="G890" s="5" t="s">
        <v>20</v>
      </c>
      <c r="H890" s="6">
        <v>686</v>
      </c>
      <c r="I890" s="14">
        <f t="shared" si="130"/>
        <v>9160.88417786784</v>
      </c>
      <c r="J890" s="15">
        <f t="shared" si="131"/>
        <v>1306.90254389335</v>
      </c>
      <c r="K890" s="15">
        <f t="shared" si="132"/>
        <v>7853.98163397448</v>
      </c>
      <c r="L890" s="15">
        <f t="shared" si="133"/>
        <v>0.142661179698217</v>
      </c>
      <c r="M890" s="15">
        <f t="shared" si="134"/>
        <v>0.1664</v>
      </c>
      <c r="N890" s="16">
        <f t="shared" si="135"/>
        <v>27</v>
      </c>
      <c r="O890" s="16">
        <f t="shared" si="136"/>
        <v>433891.644572594</v>
      </c>
      <c r="P890" s="16">
        <f t="shared" si="137"/>
        <v>260359.491166254</v>
      </c>
      <c r="Q890" s="16">
        <f t="shared" si="138"/>
        <v>10.0150829562594</v>
      </c>
      <c r="R890" s="16">
        <f t="shared" si="139"/>
        <v>1.66650980392157</v>
      </c>
      <c r="S890" s="16">
        <v>52</v>
      </c>
    </row>
    <row r="891" spans="1:19">
      <c r="A891" s="5" t="s">
        <v>688</v>
      </c>
      <c r="B891" s="6">
        <v>108</v>
      </c>
      <c r="C891" s="6">
        <v>4</v>
      </c>
      <c r="D891" s="6">
        <v>1620</v>
      </c>
      <c r="E891" s="6">
        <v>347.7</v>
      </c>
      <c r="F891" s="6">
        <v>33.15</v>
      </c>
      <c r="G891" s="5" t="s">
        <v>20</v>
      </c>
      <c r="H891" s="6">
        <v>672</v>
      </c>
      <c r="I891" s="14">
        <f t="shared" si="130"/>
        <v>9160.88417786784</v>
      </c>
      <c r="J891" s="15">
        <f t="shared" si="131"/>
        <v>1306.90254389335</v>
      </c>
      <c r="K891" s="15">
        <f t="shared" si="132"/>
        <v>7853.98163397448</v>
      </c>
      <c r="L891" s="15">
        <f t="shared" si="133"/>
        <v>0.142661179698217</v>
      </c>
      <c r="M891" s="15">
        <f t="shared" si="134"/>
        <v>0.1664</v>
      </c>
      <c r="N891" s="16">
        <f t="shared" si="135"/>
        <v>27</v>
      </c>
      <c r="O891" s="16">
        <f t="shared" si="136"/>
        <v>454410.014511719</v>
      </c>
      <c r="P891" s="16">
        <f t="shared" si="137"/>
        <v>260359.491166254</v>
      </c>
      <c r="Q891" s="16">
        <f t="shared" si="138"/>
        <v>10.4886877828054</v>
      </c>
      <c r="R891" s="16">
        <f t="shared" si="139"/>
        <v>1.74531764705882</v>
      </c>
      <c r="S891" s="16">
        <v>60</v>
      </c>
    </row>
    <row r="892" spans="1:19">
      <c r="A892" s="5" t="s">
        <v>689</v>
      </c>
      <c r="B892" s="6">
        <v>108</v>
      </c>
      <c r="C892" s="6">
        <v>4.2</v>
      </c>
      <c r="D892" s="6">
        <v>648</v>
      </c>
      <c r="E892" s="6">
        <v>259.7</v>
      </c>
      <c r="F892" s="6">
        <v>20.54</v>
      </c>
      <c r="G892" s="5" t="s">
        <v>20</v>
      </c>
      <c r="H892" s="6">
        <v>722</v>
      </c>
      <c r="I892" s="14">
        <f t="shared" si="130"/>
        <v>9160.88417786784</v>
      </c>
      <c r="J892" s="15">
        <f t="shared" si="131"/>
        <v>1369.60873325901</v>
      </c>
      <c r="K892" s="15">
        <f t="shared" si="132"/>
        <v>7791.27544460883</v>
      </c>
      <c r="L892" s="15">
        <f t="shared" si="133"/>
        <v>0.149506172839506</v>
      </c>
      <c r="M892" s="15">
        <f t="shared" si="134"/>
        <v>0.175787487298592</v>
      </c>
      <c r="N892" s="16">
        <f t="shared" si="135"/>
        <v>25.7142857142857</v>
      </c>
      <c r="O892" s="16">
        <f t="shared" si="136"/>
        <v>355687.388027364</v>
      </c>
      <c r="P892" s="16">
        <f t="shared" si="137"/>
        <v>160032.797632265</v>
      </c>
      <c r="Q892" s="16">
        <f t="shared" si="138"/>
        <v>12.6436222005842</v>
      </c>
      <c r="R892" s="16">
        <f t="shared" si="139"/>
        <v>2.2225905769934</v>
      </c>
      <c r="S892" s="16">
        <v>24</v>
      </c>
    </row>
    <row r="893" spans="1:19">
      <c r="A893" s="5" t="s">
        <v>690</v>
      </c>
      <c r="B893" s="6">
        <v>108</v>
      </c>
      <c r="C893" s="6">
        <v>4.2</v>
      </c>
      <c r="D893" s="6">
        <v>972</v>
      </c>
      <c r="E893" s="6">
        <v>259.7</v>
      </c>
      <c r="F893" s="6">
        <v>22.84</v>
      </c>
      <c r="G893" s="5" t="s">
        <v>20</v>
      </c>
      <c r="H893" s="6">
        <v>640</v>
      </c>
      <c r="I893" s="14">
        <f t="shared" si="130"/>
        <v>9160.88417786784</v>
      </c>
      <c r="J893" s="15">
        <f t="shared" si="131"/>
        <v>1369.60873325901</v>
      </c>
      <c r="K893" s="15">
        <f t="shared" si="132"/>
        <v>7791.27544460883</v>
      </c>
      <c r="L893" s="15">
        <f t="shared" si="133"/>
        <v>0.149506172839506</v>
      </c>
      <c r="M893" s="15">
        <f t="shared" si="134"/>
        <v>0.175787487298592</v>
      </c>
      <c r="N893" s="16">
        <f t="shared" si="135"/>
        <v>25.7142857142857</v>
      </c>
      <c r="O893" s="16">
        <f t="shared" si="136"/>
        <v>355687.388027364</v>
      </c>
      <c r="P893" s="16">
        <f t="shared" si="137"/>
        <v>177952.731154866</v>
      </c>
      <c r="Q893" s="16">
        <f t="shared" si="138"/>
        <v>11.3704028021016</v>
      </c>
      <c r="R893" s="16">
        <f t="shared" si="139"/>
        <v>1.99877453815431</v>
      </c>
      <c r="S893" s="16">
        <v>36</v>
      </c>
    </row>
    <row r="894" spans="1:19">
      <c r="A894" s="5" t="s">
        <v>691</v>
      </c>
      <c r="B894" s="6">
        <v>210</v>
      </c>
      <c r="C894" s="6">
        <v>2.5</v>
      </c>
      <c r="D894" s="6">
        <v>1040</v>
      </c>
      <c r="E894" s="6">
        <v>237.2</v>
      </c>
      <c r="F894" s="6">
        <v>27.07</v>
      </c>
      <c r="G894" s="5" t="s">
        <v>20</v>
      </c>
      <c r="H894" s="6">
        <v>1607</v>
      </c>
      <c r="I894" s="14">
        <f t="shared" si="130"/>
        <v>34636.0590058275</v>
      </c>
      <c r="J894" s="15">
        <f t="shared" si="131"/>
        <v>1629.70118904971</v>
      </c>
      <c r="K894" s="15">
        <f t="shared" si="132"/>
        <v>33006.3578167778</v>
      </c>
      <c r="L894" s="15">
        <f t="shared" si="133"/>
        <v>0.0470521541950113</v>
      </c>
      <c r="M894" s="15">
        <f t="shared" si="134"/>
        <v>0.0493753718024985</v>
      </c>
      <c r="N894" s="16">
        <f t="shared" si="135"/>
        <v>84</v>
      </c>
      <c r="O894" s="16">
        <f t="shared" si="136"/>
        <v>386565.12204259</v>
      </c>
      <c r="P894" s="16">
        <f t="shared" si="137"/>
        <v>893482.106100174</v>
      </c>
      <c r="Q894" s="16">
        <f t="shared" si="138"/>
        <v>8.76246767639453</v>
      </c>
      <c r="R894" s="16">
        <f t="shared" si="139"/>
        <v>0.432650099429355</v>
      </c>
      <c r="S894" s="16">
        <v>19.8095238095238</v>
      </c>
    </row>
    <row r="895" spans="1:19">
      <c r="A895" s="5" t="s">
        <v>692</v>
      </c>
      <c r="B895" s="6">
        <v>210</v>
      </c>
      <c r="C895" s="6">
        <v>2.5</v>
      </c>
      <c r="D895" s="6">
        <v>1670</v>
      </c>
      <c r="E895" s="6">
        <v>237.2</v>
      </c>
      <c r="F895" s="6">
        <v>26.56</v>
      </c>
      <c r="G895" s="5" t="s">
        <v>20</v>
      </c>
      <c r="H895" s="6">
        <v>1323</v>
      </c>
      <c r="I895" s="14">
        <f t="shared" si="130"/>
        <v>34636.0590058275</v>
      </c>
      <c r="J895" s="15">
        <f t="shared" si="131"/>
        <v>1629.70118904971</v>
      </c>
      <c r="K895" s="15">
        <f t="shared" si="132"/>
        <v>33006.3578167778</v>
      </c>
      <c r="L895" s="15">
        <f t="shared" si="133"/>
        <v>0.0470521541950113</v>
      </c>
      <c r="M895" s="15">
        <f t="shared" si="134"/>
        <v>0.0493753718024985</v>
      </c>
      <c r="N895" s="16">
        <f t="shared" si="135"/>
        <v>84</v>
      </c>
      <c r="O895" s="16">
        <f t="shared" si="136"/>
        <v>386565.12204259</v>
      </c>
      <c r="P895" s="16">
        <f t="shared" si="137"/>
        <v>876648.863613617</v>
      </c>
      <c r="Q895" s="16">
        <f t="shared" si="138"/>
        <v>8.93072289156627</v>
      </c>
      <c r="R895" s="16">
        <f t="shared" si="139"/>
        <v>0.440957763236169</v>
      </c>
      <c r="S895" s="16">
        <v>31.8095238095238</v>
      </c>
    </row>
    <row r="896" spans="1:19">
      <c r="A896" s="5" t="s">
        <v>693</v>
      </c>
      <c r="B896" s="6">
        <v>165.2</v>
      </c>
      <c r="C896" s="6">
        <v>4.17</v>
      </c>
      <c r="D896" s="6">
        <v>1322</v>
      </c>
      <c r="E896" s="6">
        <v>358.7</v>
      </c>
      <c r="F896" s="6">
        <v>40.9</v>
      </c>
      <c r="G896" s="5" t="s">
        <v>20</v>
      </c>
      <c r="H896" s="6">
        <v>1445</v>
      </c>
      <c r="I896" s="14">
        <f t="shared" si="130"/>
        <v>21434.3326932063</v>
      </c>
      <c r="J896" s="15">
        <f t="shared" si="131"/>
        <v>2109.56407308154</v>
      </c>
      <c r="K896" s="15">
        <f t="shared" si="132"/>
        <v>19324.7686201248</v>
      </c>
      <c r="L896" s="15">
        <f t="shared" si="133"/>
        <v>0.0984198623430987</v>
      </c>
      <c r="M896" s="15">
        <f t="shared" si="134"/>
        <v>0.10916374289132</v>
      </c>
      <c r="N896" s="16">
        <f t="shared" si="135"/>
        <v>39.6163069544364</v>
      </c>
      <c r="O896" s="16">
        <f t="shared" si="136"/>
        <v>756700.63301435</v>
      </c>
      <c r="P896" s="16">
        <f t="shared" si="137"/>
        <v>790383.036563102</v>
      </c>
      <c r="Q896" s="16">
        <f t="shared" si="138"/>
        <v>8.77017114914425</v>
      </c>
      <c r="R896" s="16">
        <f t="shared" si="139"/>
        <v>0.957384708438054</v>
      </c>
      <c r="S896" s="16">
        <v>32.0096852300242</v>
      </c>
    </row>
    <row r="897" spans="1:19">
      <c r="A897" s="5" t="s">
        <v>694</v>
      </c>
      <c r="B897" s="6">
        <v>165.2</v>
      </c>
      <c r="C897" s="6">
        <v>4.17</v>
      </c>
      <c r="D897" s="6">
        <v>1982</v>
      </c>
      <c r="E897" s="6">
        <v>358.7</v>
      </c>
      <c r="F897" s="6">
        <v>40.9</v>
      </c>
      <c r="G897" s="5" t="s">
        <v>20</v>
      </c>
      <c r="H897" s="6">
        <v>1305</v>
      </c>
      <c r="I897" s="14">
        <f t="shared" si="130"/>
        <v>21434.3326932063</v>
      </c>
      <c r="J897" s="15">
        <f t="shared" si="131"/>
        <v>2109.56407308154</v>
      </c>
      <c r="K897" s="15">
        <f t="shared" si="132"/>
        <v>19324.7686201248</v>
      </c>
      <c r="L897" s="15">
        <f t="shared" si="133"/>
        <v>0.0984198623430987</v>
      </c>
      <c r="M897" s="15">
        <f t="shared" si="134"/>
        <v>0.10916374289132</v>
      </c>
      <c r="N897" s="16">
        <f t="shared" si="135"/>
        <v>39.6163069544364</v>
      </c>
      <c r="O897" s="16">
        <f t="shared" si="136"/>
        <v>756700.63301435</v>
      </c>
      <c r="P897" s="16">
        <f t="shared" si="137"/>
        <v>790383.036563102</v>
      </c>
      <c r="Q897" s="16">
        <f t="shared" si="138"/>
        <v>8.77017114914425</v>
      </c>
      <c r="R897" s="16">
        <f t="shared" si="139"/>
        <v>0.957384708438054</v>
      </c>
      <c r="S897" s="16">
        <v>47.9903147699758</v>
      </c>
    </row>
    <row r="898" spans="1:19">
      <c r="A898" s="5" t="s">
        <v>695</v>
      </c>
      <c r="B898" s="6">
        <v>165.2</v>
      </c>
      <c r="C898" s="6">
        <v>4.17</v>
      </c>
      <c r="D898" s="6">
        <v>2974</v>
      </c>
      <c r="E898" s="6">
        <v>358.7</v>
      </c>
      <c r="F898" s="6">
        <v>40.9</v>
      </c>
      <c r="G898" s="5" t="s">
        <v>20</v>
      </c>
      <c r="H898" s="6">
        <v>1180</v>
      </c>
      <c r="I898" s="14">
        <f t="shared" si="130"/>
        <v>21434.3326932063</v>
      </c>
      <c r="J898" s="15">
        <f t="shared" si="131"/>
        <v>2109.56407308154</v>
      </c>
      <c r="K898" s="15">
        <f t="shared" si="132"/>
        <v>19324.7686201248</v>
      </c>
      <c r="L898" s="15">
        <f t="shared" si="133"/>
        <v>0.0984198623430987</v>
      </c>
      <c r="M898" s="15">
        <f t="shared" si="134"/>
        <v>0.10916374289132</v>
      </c>
      <c r="N898" s="16">
        <f t="shared" si="135"/>
        <v>39.6163069544364</v>
      </c>
      <c r="O898" s="16">
        <f t="shared" si="136"/>
        <v>756700.63301435</v>
      </c>
      <c r="P898" s="16">
        <f t="shared" si="137"/>
        <v>790383.036563102</v>
      </c>
      <c r="Q898" s="16">
        <f t="shared" si="138"/>
        <v>8.77017114914425</v>
      </c>
      <c r="R898" s="16">
        <f t="shared" si="139"/>
        <v>0.957384708438054</v>
      </c>
      <c r="S898" s="16">
        <v>72.0096852300242</v>
      </c>
    </row>
    <row r="899" spans="1:19">
      <c r="A899" s="5" t="s">
        <v>696</v>
      </c>
      <c r="B899" s="6">
        <v>165.2</v>
      </c>
      <c r="C899" s="6">
        <v>4.17</v>
      </c>
      <c r="D899" s="6">
        <v>3965</v>
      </c>
      <c r="E899" s="6">
        <v>358.7</v>
      </c>
      <c r="F899" s="6">
        <v>40.9</v>
      </c>
      <c r="G899" s="5" t="s">
        <v>20</v>
      </c>
      <c r="H899" s="6">
        <v>956</v>
      </c>
      <c r="I899" s="14">
        <f t="shared" ref="I899:I962" si="140">(PI()*B899^2)/4</f>
        <v>21434.3326932063</v>
      </c>
      <c r="J899" s="15">
        <f t="shared" ref="J899:J962" si="141">(PI()*(B899^2-(B899-2*C899)^2))/4</f>
        <v>2109.56407308154</v>
      </c>
      <c r="K899" s="15">
        <f t="shared" ref="K899:K962" si="142">(PI()*(B899-2*C899)^2)/4</f>
        <v>19324.7686201248</v>
      </c>
      <c r="L899" s="15">
        <f t="shared" ref="L899:L962" si="143">J899/I899</f>
        <v>0.0984198623430987</v>
      </c>
      <c r="M899" s="15">
        <f t="shared" ref="M899:M962" si="144">J899/K899</f>
        <v>0.10916374289132</v>
      </c>
      <c r="N899" s="16">
        <f t="shared" ref="N899:N962" si="145">B899/C899</f>
        <v>39.6163069544364</v>
      </c>
      <c r="O899" s="16">
        <f t="shared" ref="O899:O962" si="146">J899*E899</f>
        <v>756700.63301435</v>
      </c>
      <c r="P899" s="16">
        <f t="shared" ref="P899:P962" si="147">K899*F899</f>
        <v>790383.036563102</v>
      </c>
      <c r="Q899" s="16">
        <f t="shared" ref="Q899:Q962" si="148">E899/F899</f>
        <v>8.77017114914425</v>
      </c>
      <c r="R899" s="16">
        <f t="shared" ref="R899:R962" si="149">O899/P899</f>
        <v>0.957384708438054</v>
      </c>
      <c r="S899" s="16">
        <v>96.0048426150121</v>
      </c>
    </row>
    <row r="900" spans="1:19">
      <c r="A900" s="5" t="s">
        <v>697</v>
      </c>
      <c r="B900" s="6">
        <v>165.2</v>
      </c>
      <c r="C900" s="6">
        <v>4.17</v>
      </c>
      <c r="D900" s="6">
        <v>4956</v>
      </c>
      <c r="E900" s="6">
        <v>358.7</v>
      </c>
      <c r="F900" s="6">
        <v>40.9</v>
      </c>
      <c r="G900" s="5" t="s">
        <v>20</v>
      </c>
      <c r="H900" s="6">
        <v>800</v>
      </c>
      <c r="I900" s="14">
        <f t="shared" si="140"/>
        <v>21434.3326932063</v>
      </c>
      <c r="J900" s="15">
        <f t="shared" si="141"/>
        <v>2109.56407308154</v>
      </c>
      <c r="K900" s="15">
        <f t="shared" si="142"/>
        <v>19324.7686201248</v>
      </c>
      <c r="L900" s="15">
        <f t="shared" si="143"/>
        <v>0.0984198623430987</v>
      </c>
      <c r="M900" s="15">
        <f t="shared" si="144"/>
        <v>0.10916374289132</v>
      </c>
      <c r="N900" s="16">
        <f t="shared" si="145"/>
        <v>39.6163069544364</v>
      </c>
      <c r="O900" s="16">
        <f t="shared" si="146"/>
        <v>756700.63301435</v>
      </c>
      <c r="P900" s="16">
        <f t="shared" si="147"/>
        <v>790383.036563102</v>
      </c>
      <c r="Q900" s="16">
        <f t="shared" si="148"/>
        <v>8.77017114914425</v>
      </c>
      <c r="R900" s="16">
        <f t="shared" si="149"/>
        <v>0.957384708438054</v>
      </c>
      <c r="S900" s="16">
        <v>120</v>
      </c>
    </row>
    <row r="901" spans="1:19">
      <c r="A901" s="5" t="s">
        <v>698</v>
      </c>
      <c r="B901" s="6">
        <v>165</v>
      </c>
      <c r="C901" s="6">
        <v>4.7</v>
      </c>
      <c r="D901" s="6">
        <v>2475</v>
      </c>
      <c r="E901" s="6">
        <v>355</v>
      </c>
      <c r="F901" s="6">
        <v>33.4</v>
      </c>
      <c r="G901" s="5" t="s">
        <v>265</v>
      </c>
      <c r="H901" s="6">
        <v>1058</v>
      </c>
      <c r="I901" s="14">
        <f t="shared" si="140"/>
        <v>21382.4649984955</v>
      </c>
      <c r="J901" s="15">
        <f t="shared" si="141"/>
        <v>2366.90732114109</v>
      </c>
      <c r="K901" s="15">
        <f t="shared" si="142"/>
        <v>19015.5576773544</v>
      </c>
      <c r="L901" s="15">
        <f t="shared" si="143"/>
        <v>0.110693847566575</v>
      </c>
      <c r="M901" s="15">
        <f t="shared" si="144"/>
        <v>0.124472148611231</v>
      </c>
      <c r="N901" s="16">
        <f t="shared" si="145"/>
        <v>35.1063829787234</v>
      </c>
      <c r="O901" s="16">
        <f t="shared" si="146"/>
        <v>840252.099005086</v>
      </c>
      <c r="P901" s="16">
        <f t="shared" si="147"/>
        <v>635119.626423638</v>
      </c>
      <c r="Q901" s="16">
        <f t="shared" si="148"/>
        <v>10.6287425149701</v>
      </c>
      <c r="R901" s="16">
        <f t="shared" si="149"/>
        <v>1.32298241787386</v>
      </c>
      <c r="S901" s="16">
        <v>60</v>
      </c>
    </row>
    <row r="902" spans="1:19">
      <c r="A902" s="5" t="s">
        <v>699</v>
      </c>
      <c r="B902" s="6">
        <v>165</v>
      </c>
      <c r="C902" s="6">
        <v>4.7</v>
      </c>
      <c r="D902" s="6">
        <v>2476</v>
      </c>
      <c r="E902" s="6">
        <v>355</v>
      </c>
      <c r="F902" s="6">
        <v>33.4</v>
      </c>
      <c r="G902" s="5" t="s">
        <v>265</v>
      </c>
      <c r="H902" s="6">
        <v>1037</v>
      </c>
      <c r="I902" s="14">
        <f t="shared" si="140"/>
        <v>21382.4649984955</v>
      </c>
      <c r="J902" s="15">
        <f t="shared" si="141"/>
        <v>2366.90732114109</v>
      </c>
      <c r="K902" s="15">
        <f t="shared" si="142"/>
        <v>19015.5576773544</v>
      </c>
      <c r="L902" s="15">
        <f t="shared" si="143"/>
        <v>0.110693847566575</v>
      </c>
      <c r="M902" s="15">
        <f t="shared" si="144"/>
        <v>0.124472148611231</v>
      </c>
      <c r="N902" s="16">
        <f t="shared" si="145"/>
        <v>35.1063829787234</v>
      </c>
      <c r="O902" s="16">
        <f t="shared" si="146"/>
        <v>840252.099005086</v>
      </c>
      <c r="P902" s="16">
        <f t="shared" si="147"/>
        <v>635119.626423638</v>
      </c>
      <c r="Q902" s="16">
        <f t="shared" si="148"/>
        <v>10.6287425149701</v>
      </c>
      <c r="R902" s="16">
        <f t="shared" si="149"/>
        <v>1.32298241787386</v>
      </c>
      <c r="S902" s="16">
        <v>60.0242424242424</v>
      </c>
    </row>
    <row r="903" spans="1:19">
      <c r="A903" s="5" t="s">
        <v>700</v>
      </c>
      <c r="B903" s="6">
        <v>165</v>
      </c>
      <c r="C903" s="6">
        <v>4.7</v>
      </c>
      <c r="D903" s="6">
        <v>2477</v>
      </c>
      <c r="E903" s="6">
        <v>355</v>
      </c>
      <c r="F903" s="6">
        <v>10</v>
      </c>
      <c r="G903" s="5" t="s">
        <v>265</v>
      </c>
      <c r="H903" s="6">
        <v>800</v>
      </c>
      <c r="I903" s="14">
        <f t="shared" si="140"/>
        <v>21382.4649984955</v>
      </c>
      <c r="J903" s="15">
        <f t="shared" si="141"/>
        <v>2366.90732114109</v>
      </c>
      <c r="K903" s="15">
        <f t="shared" si="142"/>
        <v>19015.5576773544</v>
      </c>
      <c r="L903" s="15">
        <f t="shared" si="143"/>
        <v>0.110693847566575</v>
      </c>
      <c r="M903" s="15">
        <f t="shared" si="144"/>
        <v>0.124472148611231</v>
      </c>
      <c r="N903" s="16">
        <f t="shared" si="145"/>
        <v>35.1063829787234</v>
      </c>
      <c r="O903" s="16">
        <f t="shared" si="146"/>
        <v>840252.099005086</v>
      </c>
      <c r="P903" s="16">
        <f t="shared" si="147"/>
        <v>190155.576773544</v>
      </c>
      <c r="Q903" s="16">
        <f t="shared" si="148"/>
        <v>35.5</v>
      </c>
      <c r="R903" s="16">
        <f t="shared" si="149"/>
        <v>4.41876127569869</v>
      </c>
      <c r="S903" s="16">
        <v>60.0484848484848</v>
      </c>
    </row>
    <row r="904" spans="1:19">
      <c r="A904" s="5" t="s">
        <v>701</v>
      </c>
      <c r="B904" s="6">
        <v>165</v>
      </c>
      <c r="C904" s="6">
        <v>4.7</v>
      </c>
      <c r="D904" s="6">
        <v>2478</v>
      </c>
      <c r="E904" s="6">
        <v>355</v>
      </c>
      <c r="F904" s="6">
        <v>10</v>
      </c>
      <c r="G904" s="5" t="s">
        <v>265</v>
      </c>
      <c r="H904" s="6">
        <v>834</v>
      </c>
      <c r="I904" s="14">
        <f t="shared" si="140"/>
        <v>21382.4649984955</v>
      </c>
      <c r="J904" s="15">
        <f t="shared" si="141"/>
        <v>2366.90732114109</v>
      </c>
      <c r="K904" s="15">
        <f t="shared" si="142"/>
        <v>19015.5576773544</v>
      </c>
      <c r="L904" s="15">
        <f t="shared" si="143"/>
        <v>0.110693847566575</v>
      </c>
      <c r="M904" s="15">
        <f t="shared" si="144"/>
        <v>0.124472148611231</v>
      </c>
      <c r="N904" s="16">
        <f t="shared" si="145"/>
        <v>35.1063829787234</v>
      </c>
      <c r="O904" s="16">
        <f t="shared" si="146"/>
        <v>840252.099005086</v>
      </c>
      <c r="P904" s="16">
        <f t="shared" si="147"/>
        <v>190155.576773544</v>
      </c>
      <c r="Q904" s="16">
        <f t="shared" si="148"/>
        <v>35.5</v>
      </c>
      <c r="R904" s="16">
        <f t="shared" si="149"/>
        <v>4.41876127569869</v>
      </c>
      <c r="S904" s="16">
        <v>60.0727272727273</v>
      </c>
    </row>
    <row r="905" spans="1:19">
      <c r="A905" s="5" t="s">
        <v>702</v>
      </c>
      <c r="B905" s="6">
        <v>110</v>
      </c>
      <c r="C905" s="6">
        <v>1.9</v>
      </c>
      <c r="D905" s="6">
        <v>2200</v>
      </c>
      <c r="E905" s="6">
        <v>350</v>
      </c>
      <c r="F905" s="6">
        <v>33.4</v>
      </c>
      <c r="G905" s="5" t="s">
        <v>265</v>
      </c>
      <c r="H905" s="6">
        <v>437</v>
      </c>
      <c r="I905" s="14">
        <f t="shared" si="140"/>
        <v>9503.31777710912</v>
      </c>
      <c r="J905" s="15">
        <f t="shared" si="141"/>
        <v>645.251715120807</v>
      </c>
      <c r="K905" s="15">
        <f t="shared" si="142"/>
        <v>8858.06606198832</v>
      </c>
      <c r="L905" s="15">
        <f t="shared" si="143"/>
        <v>0.067897520661157</v>
      </c>
      <c r="M905" s="15">
        <f t="shared" si="144"/>
        <v>0.0728434074215937</v>
      </c>
      <c r="N905" s="16">
        <f t="shared" si="145"/>
        <v>57.8947368421053</v>
      </c>
      <c r="O905" s="16">
        <f t="shared" si="146"/>
        <v>225838.100292283</v>
      </c>
      <c r="P905" s="16">
        <f t="shared" si="147"/>
        <v>295859.40647041</v>
      </c>
      <c r="Q905" s="16">
        <f t="shared" si="148"/>
        <v>10.4790419161677</v>
      </c>
      <c r="R905" s="16">
        <f t="shared" si="149"/>
        <v>0.763329119687359</v>
      </c>
      <c r="S905" s="16">
        <v>80</v>
      </c>
    </row>
    <row r="906" spans="1:19">
      <c r="A906" s="5" t="s">
        <v>703</v>
      </c>
      <c r="B906" s="6">
        <v>110</v>
      </c>
      <c r="C906" s="6">
        <v>1.9</v>
      </c>
      <c r="D906" s="6">
        <v>2200</v>
      </c>
      <c r="E906" s="6">
        <v>350</v>
      </c>
      <c r="F906" s="6">
        <v>33.4</v>
      </c>
      <c r="G906" s="5" t="s">
        <v>265</v>
      </c>
      <c r="H906" s="6">
        <v>368</v>
      </c>
      <c r="I906" s="14">
        <f t="shared" si="140"/>
        <v>9503.31777710912</v>
      </c>
      <c r="J906" s="15">
        <f t="shared" si="141"/>
        <v>645.251715120807</v>
      </c>
      <c r="K906" s="15">
        <f t="shared" si="142"/>
        <v>8858.06606198832</v>
      </c>
      <c r="L906" s="15">
        <f t="shared" si="143"/>
        <v>0.067897520661157</v>
      </c>
      <c r="M906" s="15">
        <f t="shared" si="144"/>
        <v>0.0728434074215937</v>
      </c>
      <c r="N906" s="16">
        <f t="shared" si="145"/>
        <v>57.8947368421053</v>
      </c>
      <c r="O906" s="16">
        <f t="shared" si="146"/>
        <v>225838.100292283</v>
      </c>
      <c r="P906" s="16">
        <f t="shared" si="147"/>
        <v>295859.40647041</v>
      </c>
      <c r="Q906" s="16">
        <f t="shared" si="148"/>
        <v>10.4790419161677</v>
      </c>
      <c r="R906" s="16">
        <f t="shared" si="149"/>
        <v>0.763329119687359</v>
      </c>
      <c r="S906" s="16">
        <v>80</v>
      </c>
    </row>
    <row r="907" spans="1:19">
      <c r="A907" s="5" t="s">
        <v>704</v>
      </c>
      <c r="B907" s="6">
        <v>110</v>
      </c>
      <c r="C907" s="6">
        <v>1.9</v>
      </c>
      <c r="D907" s="6">
        <v>2200</v>
      </c>
      <c r="E907" s="6">
        <v>350</v>
      </c>
      <c r="F907" s="6">
        <v>33.4</v>
      </c>
      <c r="G907" s="5" t="s">
        <v>265</v>
      </c>
      <c r="H907" s="6">
        <v>355</v>
      </c>
      <c r="I907" s="14">
        <f t="shared" si="140"/>
        <v>9503.31777710912</v>
      </c>
      <c r="J907" s="15">
        <f t="shared" si="141"/>
        <v>645.251715120807</v>
      </c>
      <c r="K907" s="15">
        <f t="shared" si="142"/>
        <v>8858.06606198832</v>
      </c>
      <c r="L907" s="15">
        <f t="shared" si="143"/>
        <v>0.067897520661157</v>
      </c>
      <c r="M907" s="15">
        <f t="shared" si="144"/>
        <v>0.0728434074215937</v>
      </c>
      <c r="N907" s="16">
        <f t="shared" si="145"/>
        <v>57.8947368421053</v>
      </c>
      <c r="O907" s="16">
        <f t="shared" si="146"/>
        <v>225838.100292283</v>
      </c>
      <c r="P907" s="16">
        <f t="shared" si="147"/>
        <v>295859.40647041</v>
      </c>
      <c r="Q907" s="16">
        <f t="shared" si="148"/>
        <v>10.4790419161677</v>
      </c>
      <c r="R907" s="16">
        <f t="shared" si="149"/>
        <v>0.763329119687359</v>
      </c>
      <c r="S907" s="16">
        <v>80</v>
      </c>
    </row>
    <row r="908" spans="1:19">
      <c r="A908" s="5" t="s">
        <v>705</v>
      </c>
      <c r="B908" s="6">
        <v>110</v>
      </c>
      <c r="C908" s="6">
        <v>1.9</v>
      </c>
      <c r="D908" s="6">
        <v>2200</v>
      </c>
      <c r="E908" s="6">
        <v>350</v>
      </c>
      <c r="F908" s="6">
        <v>33.4</v>
      </c>
      <c r="G908" s="5" t="s">
        <v>265</v>
      </c>
      <c r="H908" s="6">
        <v>374</v>
      </c>
      <c r="I908" s="14">
        <f t="shared" si="140"/>
        <v>9503.31777710912</v>
      </c>
      <c r="J908" s="15">
        <f t="shared" si="141"/>
        <v>645.251715120807</v>
      </c>
      <c r="K908" s="15">
        <f t="shared" si="142"/>
        <v>8858.06606198832</v>
      </c>
      <c r="L908" s="15">
        <f t="shared" si="143"/>
        <v>0.067897520661157</v>
      </c>
      <c r="M908" s="15">
        <f t="shared" si="144"/>
        <v>0.0728434074215937</v>
      </c>
      <c r="N908" s="16">
        <f t="shared" si="145"/>
        <v>57.8947368421053</v>
      </c>
      <c r="O908" s="16">
        <f t="shared" si="146"/>
        <v>225838.100292283</v>
      </c>
      <c r="P908" s="16">
        <f t="shared" si="147"/>
        <v>295859.40647041</v>
      </c>
      <c r="Q908" s="16">
        <f t="shared" si="148"/>
        <v>10.4790419161677</v>
      </c>
      <c r="R908" s="16">
        <f t="shared" si="149"/>
        <v>0.763329119687359</v>
      </c>
      <c r="S908" s="16">
        <v>80</v>
      </c>
    </row>
    <row r="909" spans="1:19">
      <c r="A909" s="5" t="s">
        <v>706</v>
      </c>
      <c r="B909" s="6">
        <v>110</v>
      </c>
      <c r="C909" s="6">
        <v>1.9</v>
      </c>
      <c r="D909" s="6">
        <v>2200</v>
      </c>
      <c r="E909" s="6">
        <v>350</v>
      </c>
      <c r="F909" s="6">
        <v>10</v>
      </c>
      <c r="G909" s="5" t="s">
        <v>265</v>
      </c>
      <c r="H909" s="6">
        <v>269</v>
      </c>
      <c r="I909" s="14">
        <f t="shared" si="140"/>
        <v>9503.31777710912</v>
      </c>
      <c r="J909" s="15">
        <f t="shared" si="141"/>
        <v>645.251715120807</v>
      </c>
      <c r="K909" s="15">
        <f t="shared" si="142"/>
        <v>8858.06606198832</v>
      </c>
      <c r="L909" s="15">
        <f t="shared" si="143"/>
        <v>0.067897520661157</v>
      </c>
      <c r="M909" s="15">
        <f t="shared" si="144"/>
        <v>0.0728434074215937</v>
      </c>
      <c r="N909" s="16">
        <f t="shared" si="145"/>
        <v>57.8947368421053</v>
      </c>
      <c r="O909" s="16">
        <f t="shared" si="146"/>
        <v>225838.100292283</v>
      </c>
      <c r="P909" s="16">
        <f t="shared" si="147"/>
        <v>88580.6606198832</v>
      </c>
      <c r="Q909" s="16">
        <f t="shared" si="148"/>
        <v>35</v>
      </c>
      <c r="R909" s="16">
        <f t="shared" si="149"/>
        <v>2.54951925975578</v>
      </c>
      <c r="S909" s="16">
        <v>80</v>
      </c>
    </row>
    <row r="910" spans="1:19">
      <c r="A910" s="5" t="s">
        <v>707</v>
      </c>
      <c r="B910" s="6">
        <v>110</v>
      </c>
      <c r="C910" s="6">
        <v>1.9</v>
      </c>
      <c r="D910" s="6">
        <v>2200</v>
      </c>
      <c r="E910" s="6">
        <v>350</v>
      </c>
      <c r="F910" s="6">
        <v>10</v>
      </c>
      <c r="G910" s="5" t="s">
        <v>265</v>
      </c>
      <c r="H910" s="6">
        <v>252</v>
      </c>
      <c r="I910" s="14">
        <f t="shared" si="140"/>
        <v>9503.31777710912</v>
      </c>
      <c r="J910" s="15">
        <f t="shared" si="141"/>
        <v>645.251715120807</v>
      </c>
      <c r="K910" s="15">
        <f t="shared" si="142"/>
        <v>8858.06606198832</v>
      </c>
      <c r="L910" s="15">
        <f t="shared" si="143"/>
        <v>0.067897520661157</v>
      </c>
      <c r="M910" s="15">
        <f t="shared" si="144"/>
        <v>0.0728434074215937</v>
      </c>
      <c r="N910" s="16">
        <f t="shared" si="145"/>
        <v>57.8947368421053</v>
      </c>
      <c r="O910" s="16">
        <f t="shared" si="146"/>
        <v>225838.100292283</v>
      </c>
      <c r="P910" s="16">
        <f t="shared" si="147"/>
        <v>88580.6606198832</v>
      </c>
      <c r="Q910" s="16">
        <f t="shared" si="148"/>
        <v>35</v>
      </c>
      <c r="R910" s="16">
        <f t="shared" si="149"/>
        <v>2.54951925975578</v>
      </c>
      <c r="S910" s="16">
        <v>80</v>
      </c>
    </row>
    <row r="911" spans="1:19">
      <c r="A911" s="5" t="s">
        <v>708</v>
      </c>
      <c r="B911" s="6">
        <v>110</v>
      </c>
      <c r="C911" s="6">
        <v>1.9</v>
      </c>
      <c r="D911" s="6">
        <v>2200</v>
      </c>
      <c r="E911" s="6">
        <v>350</v>
      </c>
      <c r="F911" s="6">
        <v>10</v>
      </c>
      <c r="G911" s="5" t="s">
        <v>265</v>
      </c>
      <c r="H911" s="6">
        <v>211</v>
      </c>
      <c r="I911" s="14">
        <f t="shared" si="140"/>
        <v>9503.31777710912</v>
      </c>
      <c r="J911" s="15">
        <f t="shared" si="141"/>
        <v>645.251715120807</v>
      </c>
      <c r="K911" s="15">
        <f t="shared" si="142"/>
        <v>8858.06606198832</v>
      </c>
      <c r="L911" s="15">
        <f t="shared" si="143"/>
        <v>0.067897520661157</v>
      </c>
      <c r="M911" s="15">
        <f t="shared" si="144"/>
        <v>0.0728434074215937</v>
      </c>
      <c r="N911" s="16">
        <f t="shared" si="145"/>
        <v>57.8947368421053</v>
      </c>
      <c r="O911" s="16">
        <f t="shared" si="146"/>
        <v>225838.100292283</v>
      </c>
      <c r="P911" s="16">
        <f t="shared" si="147"/>
        <v>88580.6606198832</v>
      </c>
      <c r="Q911" s="16">
        <f t="shared" si="148"/>
        <v>35</v>
      </c>
      <c r="R911" s="16">
        <f t="shared" si="149"/>
        <v>2.54951925975578</v>
      </c>
      <c r="S911" s="16">
        <v>80</v>
      </c>
    </row>
    <row r="912" spans="1:19">
      <c r="A912" s="5" t="s">
        <v>709</v>
      </c>
      <c r="B912" s="6">
        <v>110</v>
      </c>
      <c r="C912" s="6">
        <v>1.9</v>
      </c>
      <c r="D912" s="6">
        <v>2200</v>
      </c>
      <c r="E912" s="6">
        <v>350</v>
      </c>
      <c r="F912" s="6">
        <v>10</v>
      </c>
      <c r="G912" s="5" t="s">
        <v>265</v>
      </c>
      <c r="H912" s="6">
        <v>219</v>
      </c>
      <c r="I912" s="14">
        <f t="shared" si="140"/>
        <v>9503.31777710912</v>
      </c>
      <c r="J912" s="15">
        <f t="shared" si="141"/>
        <v>645.251715120807</v>
      </c>
      <c r="K912" s="15">
        <f t="shared" si="142"/>
        <v>8858.06606198832</v>
      </c>
      <c r="L912" s="15">
        <f t="shared" si="143"/>
        <v>0.067897520661157</v>
      </c>
      <c r="M912" s="15">
        <f t="shared" si="144"/>
        <v>0.0728434074215937</v>
      </c>
      <c r="N912" s="16">
        <f t="shared" si="145"/>
        <v>57.8947368421053</v>
      </c>
      <c r="O912" s="16">
        <f t="shared" si="146"/>
        <v>225838.100292283</v>
      </c>
      <c r="P912" s="16">
        <f t="shared" si="147"/>
        <v>88580.6606198832</v>
      </c>
      <c r="Q912" s="16">
        <f t="shared" si="148"/>
        <v>35</v>
      </c>
      <c r="R912" s="16">
        <f t="shared" si="149"/>
        <v>2.54951925975578</v>
      </c>
      <c r="S912" s="16">
        <v>80</v>
      </c>
    </row>
    <row r="913" spans="1:19">
      <c r="A913" s="5" t="s">
        <v>710</v>
      </c>
      <c r="B913" s="6">
        <v>108</v>
      </c>
      <c r="C913" s="6">
        <v>4</v>
      </c>
      <c r="D913" s="6">
        <v>540</v>
      </c>
      <c r="E913" s="6">
        <v>332.02</v>
      </c>
      <c r="F913" s="6">
        <v>40.4</v>
      </c>
      <c r="G913" s="5" t="s">
        <v>20</v>
      </c>
      <c r="H913" s="6">
        <v>835.9</v>
      </c>
      <c r="I913" s="14">
        <f t="shared" si="140"/>
        <v>9160.88417786784</v>
      </c>
      <c r="J913" s="15">
        <f t="shared" si="141"/>
        <v>1306.90254389335</v>
      </c>
      <c r="K913" s="15">
        <f t="shared" si="142"/>
        <v>7853.98163397448</v>
      </c>
      <c r="L913" s="15">
        <f t="shared" si="143"/>
        <v>0.142661179698217</v>
      </c>
      <c r="M913" s="15">
        <f t="shared" si="144"/>
        <v>0.1664</v>
      </c>
      <c r="N913" s="16">
        <f t="shared" si="145"/>
        <v>27</v>
      </c>
      <c r="O913" s="16">
        <f t="shared" si="146"/>
        <v>433917.782623471</v>
      </c>
      <c r="P913" s="16">
        <f t="shared" si="147"/>
        <v>317300.858012569</v>
      </c>
      <c r="Q913" s="16">
        <f t="shared" si="148"/>
        <v>8.21831683168317</v>
      </c>
      <c r="R913" s="16">
        <f t="shared" si="149"/>
        <v>1.36752792079208</v>
      </c>
      <c r="S913" s="16">
        <v>20</v>
      </c>
    </row>
    <row r="914" spans="1:19">
      <c r="A914" s="5" t="s">
        <v>711</v>
      </c>
      <c r="B914" s="6">
        <v>108</v>
      </c>
      <c r="C914" s="6">
        <v>4.5</v>
      </c>
      <c r="D914" s="6">
        <v>485</v>
      </c>
      <c r="E914" s="6">
        <v>409.64</v>
      </c>
      <c r="F914" s="6">
        <v>28.6</v>
      </c>
      <c r="G914" s="5" t="s">
        <v>20</v>
      </c>
      <c r="H914" s="6">
        <v>1205.4</v>
      </c>
      <c r="I914" s="14">
        <f t="shared" si="140"/>
        <v>9160.88417786784</v>
      </c>
      <c r="J914" s="15">
        <f t="shared" si="141"/>
        <v>1463.19677840945</v>
      </c>
      <c r="K914" s="15">
        <f t="shared" si="142"/>
        <v>7697.68739945839</v>
      </c>
      <c r="L914" s="15">
        <f t="shared" si="143"/>
        <v>0.159722222222222</v>
      </c>
      <c r="M914" s="15">
        <f t="shared" si="144"/>
        <v>0.190082644628099</v>
      </c>
      <c r="N914" s="16">
        <f t="shared" si="145"/>
        <v>24</v>
      </c>
      <c r="O914" s="16">
        <f t="shared" si="146"/>
        <v>599383.928307645</v>
      </c>
      <c r="P914" s="16">
        <f t="shared" si="147"/>
        <v>220153.85962451</v>
      </c>
      <c r="Q914" s="16">
        <f t="shared" si="148"/>
        <v>14.3230769230769</v>
      </c>
      <c r="R914" s="16">
        <f t="shared" si="149"/>
        <v>2.72256834075016</v>
      </c>
      <c r="S914" s="16">
        <v>17.962962962963</v>
      </c>
    </row>
    <row r="915" spans="1:19">
      <c r="A915" s="5" t="s">
        <v>712</v>
      </c>
      <c r="B915" s="6">
        <v>140</v>
      </c>
      <c r="C915" s="6">
        <v>5</v>
      </c>
      <c r="D915" s="6">
        <v>840</v>
      </c>
      <c r="E915" s="6">
        <v>378.28</v>
      </c>
      <c r="F915" s="6">
        <v>45.1</v>
      </c>
      <c r="G915" s="5" t="s">
        <v>20</v>
      </c>
      <c r="H915" s="6">
        <v>1667</v>
      </c>
      <c r="I915" s="14">
        <f t="shared" si="140"/>
        <v>15393.80400259</v>
      </c>
      <c r="J915" s="15">
        <f t="shared" si="141"/>
        <v>2120.57504117311</v>
      </c>
      <c r="K915" s="15">
        <f t="shared" si="142"/>
        <v>13273.2289614169</v>
      </c>
      <c r="L915" s="15">
        <f t="shared" si="143"/>
        <v>0.137755102040816</v>
      </c>
      <c r="M915" s="15">
        <f t="shared" si="144"/>
        <v>0.159763313609467</v>
      </c>
      <c r="N915" s="16">
        <f t="shared" si="145"/>
        <v>28</v>
      </c>
      <c r="O915" s="16">
        <f t="shared" si="146"/>
        <v>802171.126574964</v>
      </c>
      <c r="P915" s="16">
        <f t="shared" si="147"/>
        <v>598622.626159901</v>
      </c>
      <c r="Q915" s="16">
        <f t="shared" si="148"/>
        <v>8.38758314855876</v>
      </c>
      <c r="R915" s="16">
        <f t="shared" si="149"/>
        <v>1.34002807698868</v>
      </c>
      <c r="S915" s="16">
        <v>24</v>
      </c>
    </row>
    <row r="916" spans="1:19">
      <c r="A916" s="5" t="s">
        <v>713</v>
      </c>
      <c r="B916" s="6">
        <v>108</v>
      </c>
      <c r="C916" s="6">
        <v>4.5</v>
      </c>
      <c r="D916" s="6">
        <v>970</v>
      </c>
      <c r="E916" s="6">
        <v>259.7</v>
      </c>
      <c r="F916" s="6">
        <v>32.2</v>
      </c>
      <c r="G916" s="5" t="s">
        <v>20</v>
      </c>
      <c r="H916" s="6">
        <v>740.9</v>
      </c>
      <c r="I916" s="14">
        <f t="shared" si="140"/>
        <v>9160.88417786784</v>
      </c>
      <c r="J916" s="15">
        <f t="shared" si="141"/>
        <v>1463.19677840945</v>
      </c>
      <c r="K916" s="15">
        <f t="shared" si="142"/>
        <v>7697.68739945839</v>
      </c>
      <c r="L916" s="15">
        <f t="shared" si="143"/>
        <v>0.159722222222222</v>
      </c>
      <c r="M916" s="15">
        <f t="shared" si="144"/>
        <v>0.190082644628099</v>
      </c>
      <c r="N916" s="16">
        <f t="shared" si="145"/>
        <v>24</v>
      </c>
      <c r="O916" s="16">
        <f t="shared" si="146"/>
        <v>379992.203352933</v>
      </c>
      <c r="P916" s="16">
        <f t="shared" si="147"/>
        <v>247865.53426256</v>
      </c>
      <c r="Q916" s="16">
        <f t="shared" si="148"/>
        <v>8.06521739130435</v>
      </c>
      <c r="R916" s="16">
        <f t="shared" si="149"/>
        <v>1.53305785123967</v>
      </c>
      <c r="S916" s="16">
        <v>35.9259259259259</v>
      </c>
    </row>
    <row r="917" spans="1:19">
      <c r="A917" s="5" t="s">
        <v>714</v>
      </c>
      <c r="B917" s="6">
        <v>220</v>
      </c>
      <c r="C917" s="6">
        <v>10</v>
      </c>
      <c r="D917" s="6">
        <v>2400</v>
      </c>
      <c r="E917" s="6">
        <v>224.22</v>
      </c>
      <c r="F917" s="6">
        <v>36.6</v>
      </c>
      <c r="G917" s="5" t="s">
        <v>20</v>
      </c>
      <c r="H917" s="6">
        <v>1729.3</v>
      </c>
      <c r="I917" s="14">
        <f t="shared" si="140"/>
        <v>38013.2711084365</v>
      </c>
      <c r="J917" s="15">
        <f t="shared" si="141"/>
        <v>6597.34457253857</v>
      </c>
      <c r="K917" s="15">
        <f t="shared" si="142"/>
        <v>31415.9265358979</v>
      </c>
      <c r="L917" s="15">
        <f t="shared" si="143"/>
        <v>0.173553719008264</v>
      </c>
      <c r="M917" s="15">
        <f t="shared" si="144"/>
        <v>0.21</v>
      </c>
      <c r="N917" s="16">
        <f t="shared" si="145"/>
        <v>22</v>
      </c>
      <c r="O917" s="16">
        <f t="shared" si="146"/>
        <v>1479256.6000546</v>
      </c>
      <c r="P917" s="16">
        <f t="shared" si="147"/>
        <v>1149822.91121386</v>
      </c>
      <c r="Q917" s="16">
        <f t="shared" si="148"/>
        <v>6.12622950819672</v>
      </c>
      <c r="R917" s="16">
        <f t="shared" si="149"/>
        <v>1.28650819672131</v>
      </c>
      <c r="S917" s="16">
        <v>43.6363636363636</v>
      </c>
    </row>
    <row r="918" spans="1:19">
      <c r="A918" s="5" t="s">
        <v>715</v>
      </c>
      <c r="B918" s="6">
        <v>240</v>
      </c>
      <c r="C918" s="6">
        <v>12</v>
      </c>
      <c r="D918" s="6">
        <v>2400</v>
      </c>
      <c r="E918" s="6">
        <v>191.79</v>
      </c>
      <c r="F918" s="6">
        <v>54.5</v>
      </c>
      <c r="G918" s="5" t="s">
        <v>20</v>
      </c>
      <c r="H918" s="6">
        <v>3900.4</v>
      </c>
      <c r="I918" s="14">
        <f t="shared" si="140"/>
        <v>45238.934211693</v>
      </c>
      <c r="J918" s="15">
        <f t="shared" si="141"/>
        <v>8595.39750022167</v>
      </c>
      <c r="K918" s="15">
        <f t="shared" si="142"/>
        <v>36643.5367114713</v>
      </c>
      <c r="L918" s="15">
        <f t="shared" si="143"/>
        <v>0.19</v>
      </c>
      <c r="M918" s="15">
        <f t="shared" si="144"/>
        <v>0.234567901234568</v>
      </c>
      <c r="N918" s="16">
        <f t="shared" si="145"/>
        <v>20</v>
      </c>
      <c r="O918" s="16">
        <f t="shared" si="146"/>
        <v>1648511.28656751</v>
      </c>
      <c r="P918" s="16">
        <f t="shared" si="147"/>
        <v>1997072.75077519</v>
      </c>
      <c r="Q918" s="16">
        <f t="shared" si="148"/>
        <v>3.51908256880734</v>
      </c>
      <c r="R918" s="16">
        <f t="shared" si="149"/>
        <v>0.82546381243629</v>
      </c>
      <c r="S918" s="16">
        <v>40</v>
      </c>
    </row>
    <row r="919" spans="1:19">
      <c r="A919" s="5" t="s">
        <v>716</v>
      </c>
      <c r="B919" s="6">
        <v>152</v>
      </c>
      <c r="C919" s="6">
        <v>7</v>
      </c>
      <c r="D919" s="6">
        <v>912</v>
      </c>
      <c r="E919" s="6">
        <v>283.22</v>
      </c>
      <c r="F919" s="6">
        <v>42.9</v>
      </c>
      <c r="G919" s="5" t="s">
        <v>20</v>
      </c>
      <c r="H919" s="6">
        <v>1693.4</v>
      </c>
      <c r="I919" s="14">
        <f t="shared" si="140"/>
        <v>18145.8391671346</v>
      </c>
      <c r="J919" s="15">
        <f t="shared" si="141"/>
        <v>3188.71654339364</v>
      </c>
      <c r="K919" s="15">
        <f t="shared" si="142"/>
        <v>14957.122623741</v>
      </c>
      <c r="L919" s="15">
        <f t="shared" si="143"/>
        <v>0.175727146814404</v>
      </c>
      <c r="M919" s="15">
        <f t="shared" si="144"/>
        <v>0.213190506196177</v>
      </c>
      <c r="N919" s="16">
        <f t="shared" si="145"/>
        <v>21.7142857142857</v>
      </c>
      <c r="O919" s="16">
        <f t="shared" si="146"/>
        <v>903108.299419947</v>
      </c>
      <c r="P919" s="16">
        <f t="shared" si="147"/>
        <v>641660.560558489</v>
      </c>
      <c r="Q919" s="16">
        <f t="shared" si="148"/>
        <v>6.6018648018648</v>
      </c>
      <c r="R919" s="16">
        <f t="shared" si="149"/>
        <v>1.40745489894828</v>
      </c>
      <c r="S919" s="16">
        <v>24</v>
      </c>
    </row>
    <row r="920" spans="1:19">
      <c r="A920" s="5" t="s">
        <v>717</v>
      </c>
      <c r="B920" s="6">
        <v>140</v>
      </c>
      <c r="C920" s="6">
        <v>5.5</v>
      </c>
      <c r="D920" s="6">
        <v>840</v>
      </c>
      <c r="E920" s="6">
        <v>333.2</v>
      </c>
      <c r="F920" s="6">
        <v>42.9</v>
      </c>
      <c r="G920" s="5" t="s">
        <v>20</v>
      </c>
      <c r="H920" s="6">
        <v>1379.8</v>
      </c>
      <c r="I920" s="14">
        <f t="shared" si="140"/>
        <v>15393.80400259</v>
      </c>
      <c r="J920" s="15">
        <f t="shared" si="141"/>
        <v>2323.99316549305</v>
      </c>
      <c r="K920" s="15">
        <f t="shared" si="142"/>
        <v>13069.8108370969</v>
      </c>
      <c r="L920" s="15">
        <f t="shared" si="143"/>
        <v>0.150969387755102</v>
      </c>
      <c r="M920" s="15">
        <f t="shared" si="144"/>
        <v>0.177813833303287</v>
      </c>
      <c r="N920" s="16">
        <f t="shared" si="145"/>
        <v>25.4545454545455</v>
      </c>
      <c r="O920" s="16">
        <f t="shared" si="146"/>
        <v>774354.522742284</v>
      </c>
      <c r="P920" s="16">
        <f t="shared" si="147"/>
        <v>560694.884911459</v>
      </c>
      <c r="Q920" s="16">
        <f t="shared" si="148"/>
        <v>7.76689976689977</v>
      </c>
      <c r="R920" s="16">
        <f t="shared" si="149"/>
        <v>1.38106222043485</v>
      </c>
      <c r="S920" s="16">
        <v>24</v>
      </c>
    </row>
    <row r="921" spans="1:19">
      <c r="A921" s="5" t="s">
        <v>718</v>
      </c>
      <c r="B921" s="6">
        <v>164</v>
      </c>
      <c r="C921" s="6">
        <v>6</v>
      </c>
      <c r="D921" s="6">
        <v>1700</v>
      </c>
      <c r="E921" s="6">
        <v>356.82</v>
      </c>
      <c r="F921" s="6">
        <v>31.5</v>
      </c>
      <c r="G921" s="5" t="s">
        <v>20</v>
      </c>
      <c r="H921" s="6">
        <v>1633.7</v>
      </c>
      <c r="I921" s="14">
        <f t="shared" si="140"/>
        <v>21124.0690027378</v>
      </c>
      <c r="J921" s="15">
        <f t="shared" si="141"/>
        <v>2978.22983560312</v>
      </c>
      <c r="K921" s="15">
        <f t="shared" si="142"/>
        <v>18145.8391671346</v>
      </c>
      <c r="L921" s="15">
        <f t="shared" si="143"/>
        <v>0.14098750743605</v>
      </c>
      <c r="M921" s="15">
        <f t="shared" si="144"/>
        <v>0.164127423822715</v>
      </c>
      <c r="N921" s="16">
        <f t="shared" si="145"/>
        <v>27.3333333333333</v>
      </c>
      <c r="O921" s="16">
        <f t="shared" si="146"/>
        <v>1062691.96993991</v>
      </c>
      <c r="P921" s="16">
        <f t="shared" si="147"/>
        <v>571593.933764741</v>
      </c>
      <c r="Q921" s="16">
        <f t="shared" si="148"/>
        <v>11.327619047619</v>
      </c>
      <c r="R921" s="16">
        <f t="shared" si="149"/>
        <v>1.85917293233083</v>
      </c>
      <c r="S921" s="16">
        <v>41.4634146341463</v>
      </c>
    </row>
    <row r="922" spans="1:19">
      <c r="A922" s="5" t="s">
        <v>719</v>
      </c>
      <c r="B922" s="6">
        <v>95</v>
      </c>
      <c r="C922" s="6">
        <v>3.5</v>
      </c>
      <c r="D922" s="6">
        <v>860</v>
      </c>
      <c r="E922" s="6">
        <v>348.88</v>
      </c>
      <c r="F922" s="6">
        <v>26.2</v>
      </c>
      <c r="G922" s="5" t="s">
        <v>20</v>
      </c>
      <c r="H922" s="6">
        <v>665.4</v>
      </c>
      <c r="I922" s="14">
        <f t="shared" si="140"/>
        <v>7088.21842466197</v>
      </c>
      <c r="J922" s="15">
        <f t="shared" si="141"/>
        <v>1006.09504731213</v>
      </c>
      <c r="K922" s="15">
        <f t="shared" si="142"/>
        <v>6082.12337734984</v>
      </c>
      <c r="L922" s="15">
        <f t="shared" si="143"/>
        <v>0.141939058171745</v>
      </c>
      <c r="M922" s="15">
        <f t="shared" si="144"/>
        <v>0.165418388429752</v>
      </c>
      <c r="N922" s="16">
        <f t="shared" si="145"/>
        <v>27.1428571428571</v>
      </c>
      <c r="O922" s="16">
        <f t="shared" si="146"/>
        <v>351006.440106256</v>
      </c>
      <c r="P922" s="16">
        <f t="shared" si="147"/>
        <v>159351.632486566</v>
      </c>
      <c r="Q922" s="16">
        <f t="shared" si="148"/>
        <v>13.3160305343511</v>
      </c>
      <c r="R922" s="16">
        <f t="shared" si="149"/>
        <v>2.20271631127374</v>
      </c>
      <c r="S922" s="16">
        <v>36.2105263157895</v>
      </c>
    </row>
    <row r="923" spans="1:19">
      <c r="A923" s="5" t="s">
        <v>720</v>
      </c>
      <c r="B923" s="6">
        <v>95</v>
      </c>
      <c r="C923" s="6">
        <v>3.5</v>
      </c>
      <c r="D923" s="6">
        <v>1420</v>
      </c>
      <c r="E923" s="6">
        <v>348.88</v>
      </c>
      <c r="F923" s="6">
        <v>26.2</v>
      </c>
      <c r="G923" s="5" t="s">
        <v>20</v>
      </c>
      <c r="H923" s="6">
        <v>582.1</v>
      </c>
      <c r="I923" s="14">
        <f t="shared" si="140"/>
        <v>7088.21842466197</v>
      </c>
      <c r="J923" s="15">
        <f t="shared" si="141"/>
        <v>1006.09504731213</v>
      </c>
      <c r="K923" s="15">
        <f t="shared" si="142"/>
        <v>6082.12337734984</v>
      </c>
      <c r="L923" s="15">
        <f t="shared" si="143"/>
        <v>0.141939058171745</v>
      </c>
      <c r="M923" s="15">
        <f t="shared" si="144"/>
        <v>0.165418388429752</v>
      </c>
      <c r="N923" s="16">
        <f t="shared" si="145"/>
        <v>27.1428571428571</v>
      </c>
      <c r="O923" s="16">
        <f t="shared" si="146"/>
        <v>351006.440106256</v>
      </c>
      <c r="P923" s="16">
        <f t="shared" si="147"/>
        <v>159351.632486566</v>
      </c>
      <c r="Q923" s="16">
        <f t="shared" si="148"/>
        <v>13.3160305343511</v>
      </c>
      <c r="R923" s="16">
        <f t="shared" si="149"/>
        <v>2.20271631127374</v>
      </c>
      <c r="S923" s="16">
        <v>59.7894736842105</v>
      </c>
    </row>
    <row r="924" spans="1:19">
      <c r="A924" s="5" t="s">
        <v>721</v>
      </c>
      <c r="B924" s="6">
        <v>121</v>
      </c>
      <c r="C924" s="6">
        <v>4</v>
      </c>
      <c r="D924" s="6">
        <v>1050</v>
      </c>
      <c r="E924" s="6">
        <v>311.15</v>
      </c>
      <c r="F924" s="6">
        <v>22.2</v>
      </c>
      <c r="G924" s="5" t="s">
        <v>20</v>
      </c>
      <c r="H924" s="6">
        <v>702.7</v>
      </c>
      <c r="I924" s="14">
        <f t="shared" si="140"/>
        <v>11499.014510302</v>
      </c>
      <c r="J924" s="15">
        <f t="shared" si="141"/>
        <v>1470.26536188002</v>
      </c>
      <c r="K924" s="15">
        <f t="shared" si="142"/>
        <v>10028.749148422</v>
      </c>
      <c r="L924" s="15">
        <f t="shared" si="143"/>
        <v>0.127860118844341</v>
      </c>
      <c r="M924" s="15">
        <f t="shared" si="144"/>
        <v>0.146605059127575</v>
      </c>
      <c r="N924" s="16">
        <f t="shared" si="145"/>
        <v>30.25</v>
      </c>
      <c r="O924" s="16">
        <f t="shared" si="146"/>
        <v>457473.067348969</v>
      </c>
      <c r="P924" s="16">
        <f t="shared" si="147"/>
        <v>222638.231094969</v>
      </c>
      <c r="Q924" s="16">
        <f t="shared" si="148"/>
        <v>14.0157657657658</v>
      </c>
      <c r="R924" s="16">
        <f t="shared" si="149"/>
        <v>2.05478216880833</v>
      </c>
      <c r="S924" s="16">
        <v>34.7107438016529</v>
      </c>
    </row>
    <row r="925" spans="1:19">
      <c r="A925" s="5" t="s">
        <v>722</v>
      </c>
      <c r="B925" s="6">
        <v>121</v>
      </c>
      <c r="C925" s="6">
        <v>4</v>
      </c>
      <c r="D925" s="6">
        <v>1050</v>
      </c>
      <c r="E925" s="6">
        <v>317.03</v>
      </c>
      <c r="F925" s="6">
        <v>26.5</v>
      </c>
      <c r="G925" s="5" t="s">
        <v>20</v>
      </c>
      <c r="H925" s="6">
        <v>851.6</v>
      </c>
      <c r="I925" s="14">
        <f t="shared" si="140"/>
        <v>11499.014510302</v>
      </c>
      <c r="J925" s="15">
        <f t="shared" si="141"/>
        <v>1470.26536188002</v>
      </c>
      <c r="K925" s="15">
        <f t="shared" si="142"/>
        <v>10028.749148422</v>
      </c>
      <c r="L925" s="15">
        <f t="shared" si="143"/>
        <v>0.127860118844341</v>
      </c>
      <c r="M925" s="15">
        <f t="shared" si="144"/>
        <v>0.146605059127575</v>
      </c>
      <c r="N925" s="16">
        <f t="shared" si="145"/>
        <v>30.25</v>
      </c>
      <c r="O925" s="16">
        <f t="shared" si="146"/>
        <v>466118.227676824</v>
      </c>
      <c r="P925" s="16">
        <f t="shared" si="147"/>
        <v>265761.852433183</v>
      </c>
      <c r="Q925" s="16">
        <f t="shared" si="148"/>
        <v>11.9633962264151</v>
      </c>
      <c r="R925" s="16">
        <f t="shared" si="149"/>
        <v>1.75389441114019</v>
      </c>
      <c r="S925" s="16">
        <v>34.7107438016529</v>
      </c>
    </row>
    <row r="926" spans="1:19">
      <c r="A926" s="5" t="s">
        <v>723</v>
      </c>
      <c r="B926" s="6">
        <v>121</v>
      </c>
      <c r="C926" s="6">
        <v>6</v>
      </c>
      <c r="D926" s="6">
        <v>1050</v>
      </c>
      <c r="E926" s="6">
        <v>349.37</v>
      </c>
      <c r="F926" s="6">
        <v>22.2</v>
      </c>
      <c r="G926" s="5" t="s">
        <v>20</v>
      </c>
      <c r="H926" s="6">
        <v>1007.4</v>
      </c>
      <c r="I926" s="14">
        <f t="shared" si="140"/>
        <v>11499.014510302</v>
      </c>
      <c r="J926" s="15">
        <f t="shared" si="141"/>
        <v>2167.69893097696</v>
      </c>
      <c r="K926" s="15">
        <f t="shared" si="142"/>
        <v>9331.31557932508</v>
      </c>
      <c r="L926" s="15">
        <f t="shared" si="143"/>
        <v>0.18851171368076</v>
      </c>
      <c r="M926" s="15">
        <f t="shared" si="144"/>
        <v>0.232303678141571</v>
      </c>
      <c r="N926" s="16">
        <f t="shared" si="145"/>
        <v>20.1666666666667</v>
      </c>
      <c r="O926" s="16">
        <f t="shared" si="146"/>
        <v>757328.97551542</v>
      </c>
      <c r="P926" s="16">
        <f t="shared" si="147"/>
        <v>207155.205861017</v>
      </c>
      <c r="Q926" s="16">
        <f t="shared" si="148"/>
        <v>15.7373873873874</v>
      </c>
      <c r="R926" s="16">
        <f t="shared" si="149"/>
        <v>3.65585297442885</v>
      </c>
      <c r="S926" s="16">
        <v>34.7107438016529</v>
      </c>
    </row>
    <row r="927" spans="1:19">
      <c r="A927" s="5" t="s">
        <v>724</v>
      </c>
      <c r="B927" s="6">
        <v>121</v>
      </c>
      <c r="C927" s="6">
        <v>6</v>
      </c>
      <c r="D927" s="6">
        <v>1050</v>
      </c>
      <c r="E927" s="6">
        <v>325.85</v>
      </c>
      <c r="F927" s="6">
        <v>26.5</v>
      </c>
      <c r="G927" s="5" t="s">
        <v>20</v>
      </c>
      <c r="H927" s="6">
        <v>1088.8</v>
      </c>
      <c r="I927" s="14">
        <f t="shared" si="140"/>
        <v>11499.014510302</v>
      </c>
      <c r="J927" s="15">
        <f t="shared" si="141"/>
        <v>2167.69893097696</v>
      </c>
      <c r="K927" s="15">
        <f t="shared" si="142"/>
        <v>9331.31557932508</v>
      </c>
      <c r="L927" s="15">
        <f t="shared" si="143"/>
        <v>0.18851171368076</v>
      </c>
      <c r="M927" s="15">
        <f t="shared" si="144"/>
        <v>0.232303678141571</v>
      </c>
      <c r="N927" s="16">
        <f t="shared" si="145"/>
        <v>20.1666666666667</v>
      </c>
      <c r="O927" s="16">
        <f t="shared" si="146"/>
        <v>706344.696658842</v>
      </c>
      <c r="P927" s="16">
        <f t="shared" si="147"/>
        <v>247279.862852115</v>
      </c>
      <c r="Q927" s="16">
        <f t="shared" si="148"/>
        <v>12.2962264150943</v>
      </c>
      <c r="R927" s="16">
        <f t="shared" si="149"/>
        <v>2.85645862348795</v>
      </c>
      <c r="S927" s="16">
        <v>34.7107438016529</v>
      </c>
    </row>
    <row r="928" spans="1:19">
      <c r="A928" s="5" t="s">
        <v>725</v>
      </c>
      <c r="B928" s="6">
        <v>216</v>
      </c>
      <c r="C928" s="6">
        <v>6</v>
      </c>
      <c r="D928" s="6">
        <v>2220</v>
      </c>
      <c r="E928" s="6">
        <v>391.02</v>
      </c>
      <c r="F928" s="6">
        <v>24.1</v>
      </c>
      <c r="G928" s="5" t="s">
        <v>20</v>
      </c>
      <c r="H928" s="6">
        <v>2440.2</v>
      </c>
      <c r="I928" s="14">
        <f t="shared" si="140"/>
        <v>36643.5367114713</v>
      </c>
      <c r="J928" s="15">
        <f t="shared" si="141"/>
        <v>3958.40674352314</v>
      </c>
      <c r="K928" s="15">
        <f t="shared" si="142"/>
        <v>32685.1299679482</v>
      </c>
      <c r="L928" s="15">
        <f t="shared" si="143"/>
        <v>0.108024691358025</v>
      </c>
      <c r="M928" s="15">
        <f t="shared" si="144"/>
        <v>0.121107266435986</v>
      </c>
      <c r="N928" s="16">
        <f t="shared" si="145"/>
        <v>36</v>
      </c>
      <c r="O928" s="16">
        <f t="shared" si="146"/>
        <v>1547816.20485242</v>
      </c>
      <c r="P928" s="16">
        <f t="shared" si="147"/>
        <v>787711.632227552</v>
      </c>
      <c r="Q928" s="16">
        <f t="shared" si="148"/>
        <v>16.2248962655602</v>
      </c>
      <c r="R928" s="16">
        <f t="shared" si="149"/>
        <v>1.96495283492943</v>
      </c>
      <c r="S928" s="16">
        <v>41.1111111111111</v>
      </c>
    </row>
    <row r="929" spans="1:19">
      <c r="A929" s="5" t="s">
        <v>726</v>
      </c>
      <c r="B929" s="6">
        <v>216</v>
      </c>
      <c r="C929" s="6">
        <v>6</v>
      </c>
      <c r="D929" s="6">
        <v>2220</v>
      </c>
      <c r="E929" s="6">
        <v>379.26</v>
      </c>
      <c r="F929" s="6">
        <v>31.4</v>
      </c>
      <c r="G929" s="5" t="s">
        <v>20</v>
      </c>
      <c r="H929" s="6">
        <v>2865.5</v>
      </c>
      <c r="I929" s="14">
        <f t="shared" si="140"/>
        <v>36643.5367114713</v>
      </c>
      <c r="J929" s="15">
        <f t="shared" si="141"/>
        <v>3958.40674352314</v>
      </c>
      <c r="K929" s="15">
        <f t="shared" si="142"/>
        <v>32685.1299679482</v>
      </c>
      <c r="L929" s="15">
        <f t="shared" si="143"/>
        <v>0.108024691358025</v>
      </c>
      <c r="M929" s="15">
        <f t="shared" si="144"/>
        <v>0.121107266435986</v>
      </c>
      <c r="N929" s="16">
        <f t="shared" si="145"/>
        <v>36</v>
      </c>
      <c r="O929" s="16">
        <f t="shared" si="146"/>
        <v>1501265.34154859</v>
      </c>
      <c r="P929" s="16">
        <f t="shared" si="147"/>
        <v>1026313.08099357</v>
      </c>
      <c r="Q929" s="16">
        <f t="shared" si="148"/>
        <v>12.0783439490446</v>
      </c>
      <c r="R929" s="16">
        <f t="shared" si="149"/>
        <v>1.46277521874242</v>
      </c>
      <c r="S929" s="16">
        <v>41.1111111111111</v>
      </c>
    </row>
    <row r="930" spans="1:19">
      <c r="A930" s="5" t="s">
        <v>727</v>
      </c>
      <c r="B930" s="6">
        <v>216</v>
      </c>
      <c r="C930" s="6">
        <v>4</v>
      </c>
      <c r="D930" s="6">
        <v>2220</v>
      </c>
      <c r="E930" s="6">
        <v>289.39</v>
      </c>
      <c r="F930" s="6">
        <v>24.1</v>
      </c>
      <c r="G930" s="5" t="s">
        <v>20</v>
      </c>
      <c r="H930" s="6">
        <v>1868.9</v>
      </c>
      <c r="I930" s="14">
        <f t="shared" si="140"/>
        <v>36643.5367114713</v>
      </c>
      <c r="J930" s="15">
        <f t="shared" si="141"/>
        <v>2664.07057024414</v>
      </c>
      <c r="K930" s="15">
        <f t="shared" si="142"/>
        <v>33979.4661412272</v>
      </c>
      <c r="L930" s="15">
        <f t="shared" si="143"/>
        <v>0.0727023319615912</v>
      </c>
      <c r="M930" s="15">
        <f t="shared" si="144"/>
        <v>0.0784023668639053</v>
      </c>
      <c r="N930" s="16">
        <f t="shared" si="145"/>
        <v>54</v>
      </c>
      <c r="O930" s="16">
        <f t="shared" si="146"/>
        <v>770955.382322953</v>
      </c>
      <c r="P930" s="16">
        <f t="shared" si="147"/>
        <v>818905.134003576</v>
      </c>
      <c r="Q930" s="16">
        <f t="shared" si="148"/>
        <v>12.0078838174274</v>
      </c>
      <c r="R930" s="16">
        <f t="shared" si="149"/>
        <v>0.941446512313094</v>
      </c>
      <c r="S930" s="16">
        <v>41.1111111111111</v>
      </c>
    </row>
    <row r="931" spans="1:19">
      <c r="A931" s="5" t="s">
        <v>728</v>
      </c>
      <c r="B931" s="6">
        <v>216</v>
      </c>
      <c r="C931" s="6">
        <v>4</v>
      </c>
      <c r="D931" s="6">
        <v>2220</v>
      </c>
      <c r="E931" s="6">
        <v>287.14</v>
      </c>
      <c r="F931" s="6">
        <v>31.4</v>
      </c>
      <c r="G931" s="5" t="s">
        <v>20</v>
      </c>
      <c r="H931" s="6">
        <v>2261.8</v>
      </c>
      <c r="I931" s="14">
        <f t="shared" si="140"/>
        <v>36643.5367114713</v>
      </c>
      <c r="J931" s="15">
        <f t="shared" si="141"/>
        <v>2664.07057024414</v>
      </c>
      <c r="K931" s="15">
        <f t="shared" si="142"/>
        <v>33979.4661412272</v>
      </c>
      <c r="L931" s="15">
        <f t="shared" si="143"/>
        <v>0.0727023319615912</v>
      </c>
      <c r="M931" s="15">
        <f t="shared" si="144"/>
        <v>0.0784023668639053</v>
      </c>
      <c r="N931" s="16">
        <f t="shared" si="145"/>
        <v>54</v>
      </c>
      <c r="O931" s="16">
        <f t="shared" si="146"/>
        <v>764961.223539904</v>
      </c>
      <c r="P931" s="16">
        <f t="shared" si="147"/>
        <v>1066955.23683453</v>
      </c>
      <c r="Q931" s="16">
        <f t="shared" si="148"/>
        <v>9.14458598726115</v>
      </c>
      <c r="R931" s="16">
        <f t="shared" si="149"/>
        <v>0.716957185391776</v>
      </c>
      <c r="S931" s="16">
        <v>41.1111111111111</v>
      </c>
    </row>
    <row r="932" spans="1:19">
      <c r="A932" s="5" t="s">
        <v>729</v>
      </c>
      <c r="B932" s="6">
        <v>153</v>
      </c>
      <c r="C932" s="6">
        <v>3.2</v>
      </c>
      <c r="D932" s="6">
        <v>1679</v>
      </c>
      <c r="E932" s="6">
        <v>413.56</v>
      </c>
      <c r="F932" s="6">
        <v>21.8</v>
      </c>
      <c r="G932" s="5" t="s">
        <v>20</v>
      </c>
      <c r="H932" s="6">
        <v>901.6</v>
      </c>
      <c r="I932" s="14">
        <f t="shared" si="140"/>
        <v>18385.3856069709</v>
      </c>
      <c r="J932" s="15">
        <f t="shared" si="141"/>
        <v>1505.95385442481</v>
      </c>
      <c r="K932" s="15">
        <f t="shared" si="142"/>
        <v>16879.4317525461</v>
      </c>
      <c r="L932" s="15">
        <f t="shared" si="143"/>
        <v>0.0819103763509762</v>
      </c>
      <c r="M932" s="15">
        <f t="shared" si="144"/>
        <v>0.0892182791756393</v>
      </c>
      <c r="N932" s="16">
        <f t="shared" si="145"/>
        <v>47.8125</v>
      </c>
      <c r="O932" s="16">
        <f t="shared" si="146"/>
        <v>622802.276035922</v>
      </c>
      <c r="P932" s="16">
        <f t="shared" si="147"/>
        <v>367971.612205504</v>
      </c>
      <c r="Q932" s="16">
        <f t="shared" si="148"/>
        <v>18.9706422018349</v>
      </c>
      <c r="R932" s="16">
        <f t="shared" si="149"/>
        <v>1.69252805210447</v>
      </c>
      <c r="S932" s="16">
        <v>43.8954248366013</v>
      </c>
    </row>
    <row r="933" spans="1:19">
      <c r="A933" s="5" t="s">
        <v>730</v>
      </c>
      <c r="B933" s="6">
        <v>101</v>
      </c>
      <c r="C933" s="6">
        <v>3.4</v>
      </c>
      <c r="D933" s="6">
        <v>1530</v>
      </c>
      <c r="E933" s="6">
        <v>602.7</v>
      </c>
      <c r="F933" s="6">
        <v>32.2</v>
      </c>
      <c r="G933" s="5" t="s">
        <v>20</v>
      </c>
      <c r="H933" s="6">
        <v>802.6</v>
      </c>
      <c r="I933" s="14">
        <f t="shared" si="140"/>
        <v>8011.84666481737</v>
      </c>
      <c r="J933" s="15">
        <f t="shared" si="141"/>
        <v>1042.50610616724</v>
      </c>
      <c r="K933" s="15">
        <f t="shared" si="142"/>
        <v>6969.34055865013</v>
      </c>
      <c r="L933" s="15">
        <f t="shared" si="143"/>
        <v>0.130120576414077</v>
      </c>
      <c r="M933" s="15">
        <f t="shared" si="144"/>
        <v>0.149584612402576</v>
      </c>
      <c r="N933" s="16">
        <f t="shared" si="145"/>
        <v>29.7058823529412</v>
      </c>
      <c r="O933" s="16">
        <f t="shared" si="146"/>
        <v>628318.430186993</v>
      </c>
      <c r="P933" s="16">
        <f t="shared" si="147"/>
        <v>224412.765988534</v>
      </c>
      <c r="Q933" s="16">
        <f t="shared" si="148"/>
        <v>18.7173913043478</v>
      </c>
      <c r="R933" s="16">
        <f t="shared" si="149"/>
        <v>2.79983372344822</v>
      </c>
      <c r="S933" s="16">
        <v>60.5940594059406</v>
      </c>
    </row>
    <row r="934" spans="1:19">
      <c r="A934" s="5" t="s">
        <v>731</v>
      </c>
      <c r="B934" s="6">
        <v>121</v>
      </c>
      <c r="C934" s="6">
        <v>4.8</v>
      </c>
      <c r="D934" s="6">
        <v>1048</v>
      </c>
      <c r="E934" s="6">
        <v>449.82</v>
      </c>
      <c r="F934" s="6">
        <v>33.9</v>
      </c>
      <c r="G934" s="5" t="s">
        <v>20</v>
      </c>
      <c r="H934" s="6">
        <v>1146.6</v>
      </c>
      <c r="I934" s="14">
        <f t="shared" si="140"/>
        <v>11499.014510302</v>
      </c>
      <c r="J934" s="15">
        <f t="shared" si="141"/>
        <v>1752.25471846624</v>
      </c>
      <c r="K934" s="15">
        <f t="shared" si="142"/>
        <v>9746.7597918358</v>
      </c>
      <c r="L934" s="15">
        <f t="shared" si="143"/>
        <v>0.152383033945769</v>
      </c>
      <c r="M934" s="15">
        <f t="shared" si="144"/>
        <v>0.179778178173016</v>
      </c>
      <c r="N934" s="16">
        <f t="shared" si="145"/>
        <v>25.2083333333333</v>
      </c>
      <c r="O934" s="16">
        <f t="shared" si="146"/>
        <v>788199.217460485</v>
      </c>
      <c r="P934" s="16">
        <f t="shared" si="147"/>
        <v>330415.156943234</v>
      </c>
      <c r="Q934" s="16">
        <f t="shared" si="148"/>
        <v>13.2690265486726</v>
      </c>
      <c r="R934" s="16">
        <f t="shared" si="149"/>
        <v>2.38548141904973</v>
      </c>
      <c r="S934" s="16">
        <v>34.6446280991736</v>
      </c>
    </row>
    <row r="935" spans="1:19">
      <c r="A935" s="5" t="s">
        <v>732</v>
      </c>
      <c r="B935" s="6">
        <v>121</v>
      </c>
      <c r="C935" s="6">
        <v>4.8</v>
      </c>
      <c r="D935" s="6">
        <v>1048</v>
      </c>
      <c r="E935" s="6">
        <v>449.82</v>
      </c>
      <c r="F935" s="6">
        <v>29.1</v>
      </c>
      <c r="G935" s="5" t="s">
        <v>20</v>
      </c>
      <c r="H935" s="6">
        <v>1078</v>
      </c>
      <c r="I935" s="14">
        <f t="shared" si="140"/>
        <v>11499.014510302</v>
      </c>
      <c r="J935" s="15">
        <f t="shared" si="141"/>
        <v>1752.25471846624</v>
      </c>
      <c r="K935" s="15">
        <f t="shared" si="142"/>
        <v>9746.7597918358</v>
      </c>
      <c r="L935" s="15">
        <f t="shared" si="143"/>
        <v>0.152383033945769</v>
      </c>
      <c r="M935" s="15">
        <f t="shared" si="144"/>
        <v>0.179778178173016</v>
      </c>
      <c r="N935" s="16">
        <f t="shared" si="145"/>
        <v>25.2083333333333</v>
      </c>
      <c r="O935" s="16">
        <f t="shared" si="146"/>
        <v>788199.217460485</v>
      </c>
      <c r="P935" s="16">
        <f t="shared" si="147"/>
        <v>283630.709942422</v>
      </c>
      <c r="Q935" s="16">
        <f t="shared" si="148"/>
        <v>15.4577319587629</v>
      </c>
      <c r="R935" s="16">
        <f t="shared" si="149"/>
        <v>2.77896289023319</v>
      </c>
      <c r="S935" s="16">
        <v>34.6446280991736</v>
      </c>
    </row>
    <row r="936" spans="1:19">
      <c r="A936" s="5" t="s">
        <v>733</v>
      </c>
      <c r="B936" s="6">
        <v>121</v>
      </c>
      <c r="C936" s="6">
        <v>4.8</v>
      </c>
      <c r="D936" s="6">
        <v>1048</v>
      </c>
      <c r="E936" s="6">
        <v>449.82</v>
      </c>
      <c r="F936" s="6">
        <v>25.6</v>
      </c>
      <c r="G936" s="5" t="s">
        <v>20</v>
      </c>
      <c r="H936" s="6">
        <v>940.8</v>
      </c>
      <c r="I936" s="14">
        <f t="shared" si="140"/>
        <v>11499.014510302</v>
      </c>
      <c r="J936" s="15">
        <f t="shared" si="141"/>
        <v>1752.25471846624</v>
      </c>
      <c r="K936" s="15">
        <f t="shared" si="142"/>
        <v>9746.7597918358</v>
      </c>
      <c r="L936" s="15">
        <f t="shared" si="143"/>
        <v>0.152383033945769</v>
      </c>
      <c r="M936" s="15">
        <f t="shared" si="144"/>
        <v>0.179778178173016</v>
      </c>
      <c r="N936" s="16">
        <f t="shared" si="145"/>
        <v>25.2083333333333</v>
      </c>
      <c r="O936" s="16">
        <f t="shared" si="146"/>
        <v>788199.217460485</v>
      </c>
      <c r="P936" s="16">
        <f t="shared" si="147"/>
        <v>249517.050670996</v>
      </c>
      <c r="Q936" s="16">
        <f t="shared" si="148"/>
        <v>17.57109375</v>
      </c>
      <c r="R936" s="16">
        <f t="shared" si="149"/>
        <v>3.15889922288226</v>
      </c>
      <c r="S936" s="16">
        <v>34.6446280991736</v>
      </c>
    </row>
    <row r="937" spans="1:19">
      <c r="A937" s="5" t="s">
        <v>734</v>
      </c>
      <c r="B937" s="6">
        <v>318.5</v>
      </c>
      <c r="C937" s="6">
        <v>6.9</v>
      </c>
      <c r="D937" s="6">
        <v>4200</v>
      </c>
      <c r="E937" s="6">
        <v>301.84</v>
      </c>
      <c r="F937" s="6">
        <v>47</v>
      </c>
      <c r="G937" s="5" t="s">
        <v>20</v>
      </c>
      <c r="H937" s="6">
        <v>5494.9</v>
      </c>
      <c r="I937" s="14">
        <f t="shared" si="140"/>
        <v>79672.5568409048</v>
      </c>
      <c r="J937" s="15">
        <f t="shared" si="141"/>
        <v>6754.5498689242</v>
      </c>
      <c r="K937" s="15">
        <f t="shared" si="142"/>
        <v>72918.0069719806</v>
      </c>
      <c r="L937" s="15">
        <f t="shared" si="143"/>
        <v>0.0847788766514939</v>
      </c>
      <c r="M937" s="15">
        <f t="shared" si="144"/>
        <v>0.0926321240721746</v>
      </c>
      <c r="N937" s="16">
        <f t="shared" si="145"/>
        <v>46.1594202898551</v>
      </c>
      <c r="O937" s="16">
        <f t="shared" si="146"/>
        <v>2038793.33243608</v>
      </c>
      <c r="P937" s="16">
        <f t="shared" si="147"/>
        <v>3427146.32768309</v>
      </c>
      <c r="Q937" s="16">
        <f t="shared" si="148"/>
        <v>6.42212765957447</v>
      </c>
      <c r="R937" s="16">
        <f t="shared" si="149"/>
        <v>0.594895326169047</v>
      </c>
      <c r="S937" s="16">
        <v>52.7472527472527</v>
      </c>
    </row>
    <row r="938" spans="1:19">
      <c r="A938" s="5" t="s">
        <v>735</v>
      </c>
      <c r="B938" s="6">
        <v>500</v>
      </c>
      <c r="C938" s="6">
        <v>11</v>
      </c>
      <c r="D938" s="6">
        <v>5000</v>
      </c>
      <c r="E938" s="6">
        <v>253.2</v>
      </c>
      <c r="F938" s="6">
        <v>47</v>
      </c>
      <c r="G938" s="5" t="s">
        <v>20</v>
      </c>
      <c r="H938" s="6">
        <v>12838</v>
      </c>
      <c r="I938" s="14">
        <f t="shared" si="140"/>
        <v>196349.540849362</v>
      </c>
      <c r="J938" s="15">
        <f t="shared" si="141"/>
        <v>16898.6268836595</v>
      </c>
      <c r="K938" s="15">
        <f t="shared" si="142"/>
        <v>179450.913965703</v>
      </c>
      <c r="L938" s="15">
        <f t="shared" si="143"/>
        <v>0.086064</v>
      </c>
      <c r="M938" s="15">
        <f t="shared" si="144"/>
        <v>0.094168519458693</v>
      </c>
      <c r="N938" s="16">
        <f t="shared" si="145"/>
        <v>45.4545454545455</v>
      </c>
      <c r="O938" s="16">
        <f t="shared" si="146"/>
        <v>4278732.32694258</v>
      </c>
      <c r="P938" s="16">
        <f t="shared" si="147"/>
        <v>8434192.95638802</v>
      </c>
      <c r="Q938" s="16">
        <f t="shared" si="148"/>
        <v>5.38723404255319</v>
      </c>
      <c r="R938" s="16">
        <f t="shared" si="149"/>
        <v>0.507307853764703</v>
      </c>
      <c r="S938" s="16">
        <v>40</v>
      </c>
    </row>
    <row r="939" spans="1:19">
      <c r="A939" s="5" t="s">
        <v>736</v>
      </c>
      <c r="B939" s="6">
        <v>500</v>
      </c>
      <c r="C939" s="6">
        <v>11</v>
      </c>
      <c r="D939" s="6">
        <v>5000</v>
      </c>
      <c r="E939" s="6">
        <v>235.2</v>
      </c>
      <c r="F939" s="6">
        <v>43.7</v>
      </c>
      <c r="G939" s="5" t="s">
        <v>20</v>
      </c>
      <c r="H939" s="6">
        <v>11838.4</v>
      </c>
      <c r="I939" s="14">
        <f t="shared" si="140"/>
        <v>196349.540849362</v>
      </c>
      <c r="J939" s="15">
        <f t="shared" si="141"/>
        <v>16898.6268836595</v>
      </c>
      <c r="K939" s="15">
        <f t="shared" si="142"/>
        <v>179450.913965703</v>
      </c>
      <c r="L939" s="15">
        <f t="shared" si="143"/>
        <v>0.086064</v>
      </c>
      <c r="M939" s="15">
        <f t="shared" si="144"/>
        <v>0.094168519458693</v>
      </c>
      <c r="N939" s="16">
        <f t="shared" si="145"/>
        <v>45.4545454545455</v>
      </c>
      <c r="O939" s="16">
        <f t="shared" si="146"/>
        <v>3974557.04303671</v>
      </c>
      <c r="P939" s="16">
        <f t="shared" si="147"/>
        <v>7842004.9403012</v>
      </c>
      <c r="Q939" s="16">
        <f t="shared" si="148"/>
        <v>5.38215102974828</v>
      </c>
      <c r="R939" s="16">
        <f t="shared" si="149"/>
        <v>0.506829193974475</v>
      </c>
      <c r="S939" s="16">
        <v>40</v>
      </c>
    </row>
    <row r="940" spans="1:19">
      <c r="A940" s="5" t="s">
        <v>737</v>
      </c>
      <c r="B940" s="6">
        <v>210</v>
      </c>
      <c r="C940" s="6">
        <v>2.5</v>
      </c>
      <c r="D940" s="6">
        <v>1670</v>
      </c>
      <c r="E940" s="6">
        <v>235.2</v>
      </c>
      <c r="F940" s="6">
        <v>27.7</v>
      </c>
      <c r="G940" s="5" t="s">
        <v>20</v>
      </c>
      <c r="H940" s="6">
        <v>1323</v>
      </c>
      <c r="I940" s="14">
        <f t="shared" si="140"/>
        <v>34636.0590058275</v>
      </c>
      <c r="J940" s="15">
        <f t="shared" si="141"/>
        <v>1629.70118904971</v>
      </c>
      <c r="K940" s="15">
        <f t="shared" si="142"/>
        <v>33006.3578167778</v>
      </c>
      <c r="L940" s="15">
        <f t="shared" si="143"/>
        <v>0.0470521541950113</v>
      </c>
      <c r="M940" s="15">
        <f t="shared" si="144"/>
        <v>0.0493753718024985</v>
      </c>
      <c r="N940" s="16">
        <f t="shared" si="145"/>
        <v>84</v>
      </c>
      <c r="O940" s="16">
        <f t="shared" si="146"/>
        <v>383305.719664491</v>
      </c>
      <c r="P940" s="16">
        <f t="shared" si="147"/>
        <v>914276.111524744</v>
      </c>
      <c r="Q940" s="16">
        <f t="shared" si="148"/>
        <v>8.49097472924188</v>
      </c>
      <c r="R940" s="16">
        <f t="shared" si="149"/>
        <v>0.419245034221937</v>
      </c>
      <c r="S940" s="16">
        <v>31.8095238095238</v>
      </c>
    </row>
    <row r="941" spans="1:19">
      <c r="A941" s="5" t="s">
        <v>738</v>
      </c>
      <c r="B941" s="6">
        <v>108</v>
      </c>
      <c r="C941" s="6">
        <v>4</v>
      </c>
      <c r="D941" s="6">
        <v>756</v>
      </c>
      <c r="E941" s="6">
        <v>337.61</v>
      </c>
      <c r="F941" s="6">
        <v>36.3</v>
      </c>
      <c r="G941" s="5" t="s">
        <v>20</v>
      </c>
      <c r="H941" s="6">
        <v>785</v>
      </c>
      <c r="I941" s="14">
        <f t="shared" si="140"/>
        <v>9160.88417786784</v>
      </c>
      <c r="J941" s="15">
        <f t="shared" si="141"/>
        <v>1306.90254389335</v>
      </c>
      <c r="K941" s="15">
        <f t="shared" si="142"/>
        <v>7853.98163397448</v>
      </c>
      <c r="L941" s="15">
        <f t="shared" si="143"/>
        <v>0.142661179698217</v>
      </c>
      <c r="M941" s="15">
        <f t="shared" si="144"/>
        <v>0.1664</v>
      </c>
      <c r="N941" s="16">
        <f t="shared" si="145"/>
        <v>27</v>
      </c>
      <c r="O941" s="16">
        <f t="shared" si="146"/>
        <v>441223.367843835</v>
      </c>
      <c r="P941" s="16">
        <f t="shared" si="147"/>
        <v>285099.533313274</v>
      </c>
      <c r="Q941" s="16">
        <f t="shared" si="148"/>
        <v>9.30055096418733</v>
      </c>
      <c r="R941" s="16">
        <f t="shared" si="149"/>
        <v>1.54761168044077</v>
      </c>
      <c r="S941" s="16">
        <v>28</v>
      </c>
    </row>
    <row r="942" spans="1:19">
      <c r="A942" s="5" t="s">
        <v>739</v>
      </c>
      <c r="B942" s="6">
        <v>108</v>
      </c>
      <c r="C942" s="6">
        <v>4</v>
      </c>
      <c r="D942" s="6">
        <v>972</v>
      </c>
      <c r="E942" s="6">
        <v>337.61</v>
      </c>
      <c r="F942" s="6">
        <v>34.5</v>
      </c>
      <c r="G942" s="5" t="s">
        <v>20</v>
      </c>
      <c r="H942" s="6">
        <v>737</v>
      </c>
      <c r="I942" s="14">
        <f t="shared" si="140"/>
        <v>9160.88417786784</v>
      </c>
      <c r="J942" s="15">
        <f t="shared" si="141"/>
        <v>1306.90254389335</v>
      </c>
      <c r="K942" s="15">
        <f t="shared" si="142"/>
        <v>7853.98163397448</v>
      </c>
      <c r="L942" s="15">
        <f t="shared" si="143"/>
        <v>0.142661179698217</v>
      </c>
      <c r="M942" s="15">
        <f t="shared" si="144"/>
        <v>0.1664</v>
      </c>
      <c r="N942" s="16">
        <f t="shared" si="145"/>
        <v>27</v>
      </c>
      <c r="O942" s="16">
        <f t="shared" si="146"/>
        <v>441223.367843835</v>
      </c>
      <c r="P942" s="16">
        <f t="shared" si="147"/>
        <v>270962.36637212</v>
      </c>
      <c r="Q942" s="16">
        <f t="shared" si="148"/>
        <v>9.78579710144928</v>
      </c>
      <c r="R942" s="16">
        <f t="shared" si="149"/>
        <v>1.62835663768116</v>
      </c>
      <c r="S942" s="16">
        <v>36</v>
      </c>
    </row>
    <row r="943" spans="1:19">
      <c r="A943" s="5" t="s">
        <v>740</v>
      </c>
      <c r="B943" s="6">
        <v>108</v>
      </c>
      <c r="C943" s="6">
        <v>4</v>
      </c>
      <c r="D943" s="6">
        <v>1404</v>
      </c>
      <c r="E943" s="6">
        <v>332.02</v>
      </c>
      <c r="F943" s="6">
        <v>34.1</v>
      </c>
      <c r="G943" s="5" t="s">
        <v>20</v>
      </c>
      <c r="H943" s="6">
        <v>686</v>
      </c>
      <c r="I943" s="14">
        <f t="shared" si="140"/>
        <v>9160.88417786784</v>
      </c>
      <c r="J943" s="15">
        <f t="shared" si="141"/>
        <v>1306.90254389335</v>
      </c>
      <c r="K943" s="15">
        <f t="shared" si="142"/>
        <v>7853.98163397448</v>
      </c>
      <c r="L943" s="15">
        <f t="shared" si="143"/>
        <v>0.142661179698217</v>
      </c>
      <c r="M943" s="15">
        <f t="shared" si="144"/>
        <v>0.1664</v>
      </c>
      <c r="N943" s="16">
        <f t="shared" si="145"/>
        <v>27</v>
      </c>
      <c r="O943" s="16">
        <f t="shared" si="146"/>
        <v>433917.782623471</v>
      </c>
      <c r="P943" s="16">
        <f t="shared" si="147"/>
        <v>267820.77371853</v>
      </c>
      <c r="Q943" s="16">
        <f t="shared" si="148"/>
        <v>9.7366568914956</v>
      </c>
      <c r="R943" s="16">
        <f t="shared" si="149"/>
        <v>1.62017970674487</v>
      </c>
      <c r="S943" s="16">
        <v>52</v>
      </c>
    </row>
    <row r="944" spans="1:19">
      <c r="A944" s="5" t="s">
        <v>741</v>
      </c>
      <c r="B944" s="6">
        <v>108</v>
      </c>
      <c r="C944" s="6">
        <v>4</v>
      </c>
      <c r="D944" s="6">
        <v>1620</v>
      </c>
      <c r="E944" s="6">
        <v>351.23</v>
      </c>
      <c r="F944" s="6">
        <v>34.1</v>
      </c>
      <c r="G944" s="5" t="s">
        <v>20</v>
      </c>
      <c r="H944" s="6">
        <v>637</v>
      </c>
      <c r="I944" s="14">
        <f t="shared" si="140"/>
        <v>9160.88417786784</v>
      </c>
      <c r="J944" s="15">
        <f t="shared" si="141"/>
        <v>1306.90254389335</v>
      </c>
      <c r="K944" s="15">
        <f t="shared" si="142"/>
        <v>7853.98163397448</v>
      </c>
      <c r="L944" s="15">
        <f t="shared" si="143"/>
        <v>0.142661179698217</v>
      </c>
      <c r="M944" s="15">
        <f t="shared" si="144"/>
        <v>0.1664</v>
      </c>
      <c r="N944" s="16">
        <f t="shared" si="145"/>
        <v>27</v>
      </c>
      <c r="O944" s="16">
        <f t="shared" si="146"/>
        <v>459023.380491663</v>
      </c>
      <c r="P944" s="16">
        <f t="shared" si="147"/>
        <v>267820.77371853</v>
      </c>
      <c r="Q944" s="16">
        <f t="shared" si="148"/>
        <v>10.3</v>
      </c>
      <c r="R944" s="16">
        <f t="shared" si="149"/>
        <v>1.71392</v>
      </c>
      <c r="S944" s="16">
        <v>60</v>
      </c>
    </row>
    <row r="945" spans="1:19">
      <c r="A945" s="5" t="s">
        <v>742</v>
      </c>
      <c r="B945" s="6">
        <v>140</v>
      </c>
      <c r="C945" s="6">
        <v>5</v>
      </c>
      <c r="D945" s="6">
        <v>840</v>
      </c>
      <c r="E945" s="6">
        <v>378.28</v>
      </c>
      <c r="F945" s="6">
        <v>23.1</v>
      </c>
      <c r="G945" s="5" t="s">
        <v>20</v>
      </c>
      <c r="H945" s="6">
        <v>1283.8</v>
      </c>
      <c r="I945" s="14">
        <f t="shared" si="140"/>
        <v>15393.80400259</v>
      </c>
      <c r="J945" s="15">
        <f t="shared" si="141"/>
        <v>2120.57504117311</v>
      </c>
      <c r="K945" s="15">
        <f t="shared" si="142"/>
        <v>13273.2289614169</v>
      </c>
      <c r="L945" s="15">
        <f t="shared" si="143"/>
        <v>0.137755102040816</v>
      </c>
      <c r="M945" s="15">
        <f t="shared" si="144"/>
        <v>0.159763313609467</v>
      </c>
      <c r="N945" s="16">
        <f t="shared" si="145"/>
        <v>28</v>
      </c>
      <c r="O945" s="16">
        <f t="shared" si="146"/>
        <v>802171.126574964</v>
      </c>
      <c r="P945" s="16">
        <f t="shared" si="147"/>
        <v>306611.58900873</v>
      </c>
      <c r="Q945" s="16">
        <f t="shared" si="148"/>
        <v>16.3757575757576</v>
      </c>
      <c r="R945" s="16">
        <f t="shared" si="149"/>
        <v>2.61624529316837</v>
      </c>
      <c r="S945" s="16">
        <v>24</v>
      </c>
    </row>
    <row r="946" spans="1:19">
      <c r="A946" s="5" t="s">
        <v>743</v>
      </c>
      <c r="B946" s="6">
        <v>140</v>
      </c>
      <c r="C946" s="6">
        <v>5</v>
      </c>
      <c r="D946" s="6">
        <v>840</v>
      </c>
      <c r="E946" s="6">
        <v>378.28</v>
      </c>
      <c r="F946" s="6">
        <v>31.6</v>
      </c>
      <c r="G946" s="5" t="s">
        <v>20</v>
      </c>
      <c r="H946" s="6">
        <v>1391.6</v>
      </c>
      <c r="I946" s="14">
        <f t="shared" si="140"/>
        <v>15393.80400259</v>
      </c>
      <c r="J946" s="15">
        <f t="shared" si="141"/>
        <v>2120.57504117311</v>
      </c>
      <c r="K946" s="15">
        <f t="shared" si="142"/>
        <v>13273.2289614169</v>
      </c>
      <c r="L946" s="15">
        <f t="shared" si="143"/>
        <v>0.137755102040816</v>
      </c>
      <c r="M946" s="15">
        <f t="shared" si="144"/>
        <v>0.159763313609467</v>
      </c>
      <c r="N946" s="16">
        <f t="shared" si="145"/>
        <v>28</v>
      </c>
      <c r="O946" s="16">
        <f t="shared" si="146"/>
        <v>802171.126574964</v>
      </c>
      <c r="P946" s="16">
        <f t="shared" si="147"/>
        <v>419434.035180773</v>
      </c>
      <c r="Q946" s="16">
        <f t="shared" si="148"/>
        <v>11.9708860759494</v>
      </c>
      <c r="R946" s="16">
        <f t="shared" si="149"/>
        <v>1.91250842633511</v>
      </c>
      <c r="S946" s="16">
        <v>24</v>
      </c>
    </row>
    <row r="947" spans="1:19">
      <c r="A947" s="5" t="s">
        <v>744</v>
      </c>
      <c r="B947" s="6">
        <v>140</v>
      </c>
      <c r="C947" s="6">
        <v>5</v>
      </c>
      <c r="D947" s="6">
        <v>840</v>
      </c>
      <c r="E947" s="6">
        <v>378.28</v>
      </c>
      <c r="F947" s="6">
        <v>45.1</v>
      </c>
      <c r="G947" s="5" t="s">
        <v>20</v>
      </c>
      <c r="H947" s="6">
        <v>1685.6</v>
      </c>
      <c r="I947" s="14">
        <f t="shared" si="140"/>
        <v>15393.80400259</v>
      </c>
      <c r="J947" s="15">
        <f t="shared" si="141"/>
        <v>2120.57504117311</v>
      </c>
      <c r="K947" s="15">
        <f t="shared" si="142"/>
        <v>13273.2289614169</v>
      </c>
      <c r="L947" s="15">
        <f t="shared" si="143"/>
        <v>0.137755102040816</v>
      </c>
      <c r="M947" s="15">
        <f t="shared" si="144"/>
        <v>0.159763313609467</v>
      </c>
      <c r="N947" s="16">
        <f t="shared" si="145"/>
        <v>28</v>
      </c>
      <c r="O947" s="16">
        <f t="shared" si="146"/>
        <v>802171.126574964</v>
      </c>
      <c r="P947" s="16">
        <f t="shared" si="147"/>
        <v>598622.626159901</v>
      </c>
      <c r="Q947" s="16">
        <f t="shared" si="148"/>
        <v>8.38758314855876</v>
      </c>
      <c r="R947" s="16">
        <f t="shared" si="149"/>
        <v>1.34002807698868</v>
      </c>
      <c r="S947" s="16">
        <v>24</v>
      </c>
    </row>
    <row r="948" spans="1:19">
      <c r="A948" s="5" t="s">
        <v>745</v>
      </c>
      <c r="B948" s="6">
        <v>140</v>
      </c>
      <c r="C948" s="6">
        <v>5</v>
      </c>
      <c r="D948" s="6">
        <v>840</v>
      </c>
      <c r="E948" s="6">
        <v>178.28</v>
      </c>
      <c r="F948" s="6">
        <v>51</v>
      </c>
      <c r="G948" s="5" t="s">
        <v>20</v>
      </c>
      <c r="H948" s="6">
        <v>1705.2</v>
      </c>
      <c r="I948" s="14">
        <f t="shared" si="140"/>
        <v>15393.80400259</v>
      </c>
      <c r="J948" s="15">
        <f t="shared" si="141"/>
        <v>2120.57504117311</v>
      </c>
      <c r="K948" s="15">
        <f t="shared" si="142"/>
        <v>13273.2289614169</v>
      </c>
      <c r="L948" s="15">
        <f t="shared" si="143"/>
        <v>0.137755102040816</v>
      </c>
      <c r="M948" s="15">
        <f t="shared" si="144"/>
        <v>0.159763313609467</v>
      </c>
      <c r="N948" s="16">
        <f t="shared" si="145"/>
        <v>28</v>
      </c>
      <c r="O948" s="16">
        <f t="shared" si="146"/>
        <v>378056.118340342</v>
      </c>
      <c r="P948" s="16">
        <f t="shared" si="147"/>
        <v>676934.677032261</v>
      </c>
      <c r="Q948" s="16">
        <f t="shared" si="148"/>
        <v>3.4956862745098</v>
      </c>
      <c r="R948" s="16">
        <f t="shared" si="149"/>
        <v>0.558482422554821</v>
      </c>
      <c r="S948" s="16">
        <v>24</v>
      </c>
    </row>
    <row r="949" spans="1:19">
      <c r="A949" s="5" t="s">
        <v>746</v>
      </c>
      <c r="B949" s="6">
        <v>100</v>
      </c>
      <c r="C949" s="6">
        <v>2.5</v>
      </c>
      <c r="D949" s="6">
        <v>600</v>
      </c>
      <c r="E949" s="6">
        <v>244.02</v>
      </c>
      <c r="F949" s="6">
        <v>43.4</v>
      </c>
      <c r="G949" s="5" t="s">
        <v>20</v>
      </c>
      <c r="H949" s="6">
        <v>686</v>
      </c>
      <c r="I949" s="14">
        <f t="shared" si="140"/>
        <v>7853.98163397448</v>
      </c>
      <c r="J949" s="15">
        <f t="shared" si="141"/>
        <v>765.763209312512</v>
      </c>
      <c r="K949" s="15">
        <f t="shared" si="142"/>
        <v>7088.21842466197</v>
      </c>
      <c r="L949" s="15">
        <f t="shared" si="143"/>
        <v>0.0975</v>
      </c>
      <c r="M949" s="15">
        <f t="shared" si="144"/>
        <v>0.10803324099723</v>
      </c>
      <c r="N949" s="16">
        <f t="shared" si="145"/>
        <v>40</v>
      </c>
      <c r="O949" s="16">
        <f t="shared" si="146"/>
        <v>186861.538336439</v>
      </c>
      <c r="P949" s="16">
        <f t="shared" si="147"/>
        <v>307628.67963033</v>
      </c>
      <c r="Q949" s="16">
        <f t="shared" si="148"/>
        <v>5.62258064516129</v>
      </c>
      <c r="R949" s="16">
        <f t="shared" si="149"/>
        <v>0.60742560986507</v>
      </c>
      <c r="S949" s="16">
        <v>24</v>
      </c>
    </row>
    <row r="950" spans="1:19">
      <c r="A950" s="5" t="s">
        <v>747</v>
      </c>
      <c r="B950" s="6">
        <v>100</v>
      </c>
      <c r="C950" s="6">
        <v>2</v>
      </c>
      <c r="D950" s="6">
        <v>900</v>
      </c>
      <c r="E950" s="6">
        <v>236.18</v>
      </c>
      <c r="F950" s="6">
        <v>43.4</v>
      </c>
      <c r="G950" s="5" t="s">
        <v>20</v>
      </c>
      <c r="H950" s="6">
        <v>587</v>
      </c>
      <c r="I950" s="14">
        <f t="shared" si="140"/>
        <v>7853.98163397448</v>
      </c>
      <c r="J950" s="15">
        <f t="shared" si="141"/>
        <v>615.752160103599</v>
      </c>
      <c r="K950" s="15">
        <f t="shared" si="142"/>
        <v>7238.22947387088</v>
      </c>
      <c r="L950" s="15">
        <f t="shared" si="143"/>
        <v>0.0784</v>
      </c>
      <c r="M950" s="15">
        <f t="shared" si="144"/>
        <v>0.0850694444444444</v>
      </c>
      <c r="N950" s="16">
        <f t="shared" si="145"/>
        <v>50</v>
      </c>
      <c r="O950" s="16">
        <f t="shared" si="146"/>
        <v>145428.345173268</v>
      </c>
      <c r="P950" s="16">
        <f t="shared" si="147"/>
        <v>314139.159165996</v>
      </c>
      <c r="Q950" s="16">
        <f t="shared" si="148"/>
        <v>5.44193548387097</v>
      </c>
      <c r="R950" s="16">
        <f t="shared" si="149"/>
        <v>0.462942428315412</v>
      </c>
      <c r="S950" s="16">
        <v>36</v>
      </c>
    </row>
    <row r="951" spans="1:19">
      <c r="A951" s="5" t="s">
        <v>748</v>
      </c>
      <c r="B951" s="6">
        <v>100</v>
      </c>
      <c r="C951" s="6">
        <v>2</v>
      </c>
      <c r="D951" s="6">
        <v>600</v>
      </c>
      <c r="E951" s="6">
        <v>236.18</v>
      </c>
      <c r="F951" s="6">
        <v>36.7</v>
      </c>
      <c r="G951" s="5" t="s">
        <v>20</v>
      </c>
      <c r="H951" s="6">
        <v>558.6</v>
      </c>
      <c r="I951" s="14">
        <f t="shared" si="140"/>
        <v>7853.98163397448</v>
      </c>
      <c r="J951" s="15">
        <f t="shared" si="141"/>
        <v>615.752160103599</v>
      </c>
      <c r="K951" s="15">
        <f t="shared" si="142"/>
        <v>7238.22947387088</v>
      </c>
      <c r="L951" s="15">
        <f t="shared" si="143"/>
        <v>0.0784</v>
      </c>
      <c r="M951" s="15">
        <f t="shared" si="144"/>
        <v>0.0850694444444444</v>
      </c>
      <c r="N951" s="16">
        <f t="shared" si="145"/>
        <v>50</v>
      </c>
      <c r="O951" s="16">
        <f t="shared" si="146"/>
        <v>145428.345173268</v>
      </c>
      <c r="P951" s="16">
        <f t="shared" si="147"/>
        <v>265643.021691061</v>
      </c>
      <c r="Q951" s="16">
        <f t="shared" si="148"/>
        <v>6.43542234332425</v>
      </c>
      <c r="R951" s="16">
        <f t="shared" si="149"/>
        <v>0.547457803511959</v>
      </c>
      <c r="S951" s="16">
        <v>24</v>
      </c>
    </row>
    <row r="952" spans="1:19">
      <c r="A952" s="5" t="s">
        <v>749</v>
      </c>
      <c r="B952" s="6">
        <v>100</v>
      </c>
      <c r="C952" s="6">
        <v>2</v>
      </c>
      <c r="D952" s="6">
        <v>600</v>
      </c>
      <c r="E952" s="6">
        <v>236.18</v>
      </c>
      <c r="F952" s="6">
        <v>36.7</v>
      </c>
      <c r="G952" s="5" t="s">
        <v>20</v>
      </c>
      <c r="H952" s="6">
        <v>512.5</v>
      </c>
      <c r="I952" s="14">
        <f t="shared" si="140"/>
        <v>7853.98163397448</v>
      </c>
      <c r="J952" s="15">
        <f t="shared" si="141"/>
        <v>615.752160103599</v>
      </c>
      <c r="K952" s="15">
        <f t="shared" si="142"/>
        <v>7238.22947387088</v>
      </c>
      <c r="L952" s="15">
        <f t="shared" si="143"/>
        <v>0.0784</v>
      </c>
      <c r="M952" s="15">
        <f t="shared" si="144"/>
        <v>0.0850694444444444</v>
      </c>
      <c r="N952" s="16">
        <f t="shared" si="145"/>
        <v>50</v>
      </c>
      <c r="O952" s="16">
        <f t="shared" si="146"/>
        <v>145428.345173268</v>
      </c>
      <c r="P952" s="16">
        <f t="shared" si="147"/>
        <v>265643.021691061</v>
      </c>
      <c r="Q952" s="16">
        <f t="shared" si="148"/>
        <v>6.43542234332425</v>
      </c>
      <c r="R952" s="16">
        <f t="shared" si="149"/>
        <v>0.547457803511959</v>
      </c>
      <c r="S952" s="16">
        <v>24</v>
      </c>
    </row>
    <row r="953" spans="1:19">
      <c r="A953" s="5" t="s">
        <v>750</v>
      </c>
      <c r="B953" s="6">
        <v>100</v>
      </c>
      <c r="C953" s="6">
        <v>4.5</v>
      </c>
      <c r="D953" s="6">
        <v>1080</v>
      </c>
      <c r="E953" s="6">
        <v>259.7</v>
      </c>
      <c r="F953" s="6">
        <v>28.1</v>
      </c>
      <c r="G953" s="5" t="s">
        <v>20</v>
      </c>
      <c r="H953" s="6">
        <v>743.8</v>
      </c>
      <c r="I953" s="14">
        <f t="shared" si="140"/>
        <v>7853.98163397448</v>
      </c>
      <c r="J953" s="15">
        <f t="shared" si="141"/>
        <v>1350.09944288021</v>
      </c>
      <c r="K953" s="15">
        <f t="shared" si="142"/>
        <v>6503.88219109427</v>
      </c>
      <c r="L953" s="15">
        <f t="shared" si="143"/>
        <v>0.1719</v>
      </c>
      <c r="M953" s="15">
        <f t="shared" si="144"/>
        <v>0.207583625166043</v>
      </c>
      <c r="N953" s="16">
        <f t="shared" si="145"/>
        <v>22.2222222222222</v>
      </c>
      <c r="O953" s="16">
        <f t="shared" si="146"/>
        <v>350620.825315991</v>
      </c>
      <c r="P953" s="16">
        <f t="shared" si="147"/>
        <v>182759.089569749</v>
      </c>
      <c r="Q953" s="16">
        <f t="shared" si="148"/>
        <v>9.24199288256228</v>
      </c>
      <c r="R953" s="16">
        <f t="shared" si="149"/>
        <v>1.91848638632104</v>
      </c>
      <c r="S953" s="16">
        <v>43.2</v>
      </c>
    </row>
    <row r="954" spans="1:19">
      <c r="A954" s="5" t="s">
        <v>751</v>
      </c>
      <c r="B954" s="6">
        <v>106</v>
      </c>
      <c r="C954" s="6">
        <v>3.5</v>
      </c>
      <c r="D954" s="6">
        <v>1080</v>
      </c>
      <c r="E954" s="6">
        <v>259.7</v>
      </c>
      <c r="F954" s="6">
        <v>28.1</v>
      </c>
      <c r="G954" s="5" t="s">
        <v>20</v>
      </c>
      <c r="H954" s="6">
        <v>559.6</v>
      </c>
      <c r="I954" s="14">
        <f t="shared" si="140"/>
        <v>8824.73376393373</v>
      </c>
      <c r="J954" s="15">
        <f t="shared" si="141"/>
        <v>1127.04636447534</v>
      </c>
      <c r="K954" s="15">
        <f t="shared" si="142"/>
        <v>7697.68739945839</v>
      </c>
      <c r="L954" s="15">
        <f t="shared" si="143"/>
        <v>0.127714489142043</v>
      </c>
      <c r="M954" s="15">
        <f t="shared" si="144"/>
        <v>0.146413631262116</v>
      </c>
      <c r="N954" s="16">
        <f t="shared" si="145"/>
        <v>30.2857142857143</v>
      </c>
      <c r="O954" s="16">
        <f t="shared" si="146"/>
        <v>292693.940854245</v>
      </c>
      <c r="P954" s="16">
        <f t="shared" si="147"/>
        <v>216305.015924781</v>
      </c>
      <c r="Q954" s="16">
        <f t="shared" si="148"/>
        <v>9.24199288256228</v>
      </c>
      <c r="R954" s="16">
        <f t="shared" si="149"/>
        <v>1.35315373803457</v>
      </c>
      <c r="S954" s="16">
        <v>40.7547169811321</v>
      </c>
    </row>
    <row r="955" spans="1:19">
      <c r="A955" s="5" t="s">
        <v>752</v>
      </c>
      <c r="B955" s="6">
        <v>104</v>
      </c>
      <c r="C955" s="6">
        <v>2.5</v>
      </c>
      <c r="D955" s="6">
        <v>1080</v>
      </c>
      <c r="E955" s="6">
        <v>259.7</v>
      </c>
      <c r="F955" s="6">
        <v>28.1</v>
      </c>
      <c r="G955" s="5" t="s">
        <v>20</v>
      </c>
      <c r="H955" s="6">
        <v>433.2</v>
      </c>
      <c r="I955" s="14">
        <f t="shared" si="140"/>
        <v>8494.8665353068</v>
      </c>
      <c r="J955" s="15">
        <f t="shared" si="141"/>
        <v>797.17913584841</v>
      </c>
      <c r="K955" s="15">
        <f t="shared" si="142"/>
        <v>7697.68739945839</v>
      </c>
      <c r="L955" s="15">
        <f t="shared" si="143"/>
        <v>0.0938424556213018</v>
      </c>
      <c r="M955" s="15">
        <f t="shared" si="144"/>
        <v>0.103560861136619</v>
      </c>
      <c r="N955" s="16">
        <f t="shared" si="145"/>
        <v>41.6</v>
      </c>
      <c r="O955" s="16">
        <f t="shared" si="146"/>
        <v>207027.421579832</v>
      </c>
      <c r="P955" s="16">
        <f t="shared" si="147"/>
        <v>216305.015924781</v>
      </c>
      <c r="Q955" s="16">
        <f t="shared" si="148"/>
        <v>9.24199288256228</v>
      </c>
      <c r="R955" s="16">
        <f t="shared" si="149"/>
        <v>0.957108741536651</v>
      </c>
      <c r="S955" s="16">
        <v>41.5384615384615</v>
      </c>
    </row>
    <row r="956" spans="1:19">
      <c r="A956" s="5" t="s">
        <v>753</v>
      </c>
      <c r="B956" s="6">
        <v>108</v>
      </c>
      <c r="C956" s="6">
        <v>4</v>
      </c>
      <c r="D956" s="6">
        <v>1188</v>
      </c>
      <c r="E956" s="6">
        <v>327.12</v>
      </c>
      <c r="F956" s="6">
        <v>35</v>
      </c>
      <c r="G956" s="5" t="s">
        <v>20</v>
      </c>
      <c r="H956" s="6">
        <v>686</v>
      </c>
      <c r="I956" s="14">
        <f t="shared" si="140"/>
        <v>9160.88417786784</v>
      </c>
      <c r="J956" s="15">
        <f t="shared" si="141"/>
        <v>1306.90254389335</v>
      </c>
      <c r="K956" s="15">
        <f t="shared" si="142"/>
        <v>7853.98163397448</v>
      </c>
      <c r="L956" s="15">
        <f t="shared" si="143"/>
        <v>0.142661179698217</v>
      </c>
      <c r="M956" s="15">
        <f t="shared" si="144"/>
        <v>0.1664</v>
      </c>
      <c r="N956" s="16">
        <f t="shared" si="145"/>
        <v>27</v>
      </c>
      <c r="O956" s="16">
        <f t="shared" si="146"/>
        <v>427513.960158394</v>
      </c>
      <c r="P956" s="16">
        <f t="shared" si="147"/>
        <v>274889.357189107</v>
      </c>
      <c r="Q956" s="16">
        <f t="shared" si="148"/>
        <v>9.34628571428571</v>
      </c>
      <c r="R956" s="16">
        <f t="shared" si="149"/>
        <v>1.55522194285714</v>
      </c>
      <c r="S956" s="16">
        <v>44</v>
      </c>
    </row>
    <row r="957" spans="1:19">
      <c r="A957" s="5" t="s">
        <v>754</v>
      </c>
      <c r="B957" s="6">
        <v>169</v>
      </c>
      <c r="C957" s="6">
        <v>7.5</v>
      </c>
      <c r="D957" s="6">
        <v>690</v>
      </c>
      <c r="E957" s="6">
        <v>360</v>
      </c>
      <c r="F957" s="6">
        <v>70.8</v>
      </c>
      <c r="G957" s="5" t="s">
        <v>20</v>
      </c>
      <c r="H957" s="6">
        <v>3080</v>
      </c>
      <c r="I957" s="14">
        <f t="shared" si="140"/>
        <v>22431.7569447945</v>
      </c>
      <c r="J957" s="15">
        <f t="shared" si="141"/>
        <v>3805.25410166064</v>
      </c>
      <c r="K957" s="15">
        <f t="shared" si="142"/>
        <v>18626.5028431339</v>
      </c>
      <c r="L957" s="15">
        <f t="shared" si="143"/>
        <v>0.169636917474878</v>
      </c>
      <c r="M957" s="15">
        <f t="shared" si="144"/>
        <v>0.204292460785967</v>
      </c>
      <c r="N957" s="16">
        <f t="shared" si="145"/>
        <v>22.5333333333333</v>
      </c>
      <c r="O957" s="16">
        <f t="shared" si="146"/>
        <v>1369891.47659783</v>
      </c>
      <c r="P957" s="16">
        <f t="shared" si="147"/>
        <v>1318756.40129388</v>
      </c>
      <c r="Q957" s="16">
        <f t="shared" si="148"/>
        <v>5.08474576271186</v>
      </c>
      <c r="R957" s="16">
        <f t="shared" si="149"/>
        <v>1.03877522433543</v>
      </c>
      <c r="S957" s="16">
        <v>16.3313609467456</v>
      </c>
    </row>
    <row r="958" spans="1:19">
      <c r="A958" s="5" t="s">
        <v>755</v>
      </c>
      <c r="B958" s="6">
        <v>169</v>
      </c>
      <c r="C958" s="6">
        <v>7.5</v>
      </c>
      <c r="D958" s="6">
        <v>690</v>
      </c>
      <c r="E958" s="6">
        <v>360</v>
      </c>
      <c r="F958" s="6">
        <v>70.8</v>
      </c>
      <c r="G958" s="5" t="s">
        <v>20</v>
      </c>
      <c r="H958" s="6">
        <v>4190</v>
      </c>
      <c r="I958" s="14">
        <f t="shared" si="140"/>
        <v>22431.7569447945</v>
      </c>
      <c r="J958" s="15">
        <f t="shared" si="141"/>
        <v>3805.25410166064</v>
      </c>
      <c r="K958" s="15">
        <f t="shared" si="142"/>
        <v>18626.5028431339</v>
      </c>
      <c r="L958" s="15">
        <f t="shared" si="143"/>
        <v>0.169636917474878</v>
      </c>
      <c r="M958" s="15">
        <f t="shared" si="144"/>
        <v>0.204292460785967</v>
      </c>
      <c r="N958" s="16">
        <f t="shared" si="145"/>
        <v>22.5333333333333</v>
      </c>
      <c r="O958" s="16">
        <f t="shared" si="146"/>
        <v>1369891.47659783</v>
      </c>
      <c r="P958" s="16">
        <f t="shared" si="147"/>
        <v>1318756.40129388</v>
      </c>
      <c r="Q958" s="16">
        <f t="shared" si="148"/>
        <v>5.08474576271186</v>
      </c>
      <c r="R958" s="16">
        <f t="shared" si="149"/>
        <v>1.03877522433543</v>
      </c>
      <c r="S958" s="16">
        <v>16.3313609467456</v>
      </c>
    </row>
    <row r="959" spans="1:19">
      <c r="A959" s="5" t="s">
        <v>756</v>
      </c>
      <c r="B959" s="6">
        <v>169</v>
      </c>
      <c r="C959" s="6">
        <v>7.5</v>
      </c>
      <c r="D959" s="6">
        <v>1768</v>
      </c>
      <c r="E959" s="6">
        <v>360</v>
      </c>
      <c r="F959" s="6">
        <v>70.8</v>
      </c>
      <c r="G959" s="5" t="s">
        <v>20</v>
      </c>
      <c r="H959" s="6">
        <v>2870</v>
      </c>
      <c r="I959" s="14">
        <f t="shared" si="140"/>
        <v>22431.7569447945</v>
      </c>
      <c r="J959" s="15">
        <f t="shared" si="141"/>
        <v>3805.25410166064</v>
      </c>
      <c r="K959" s="15">
        <f t="shared" si="142"/>
        <v>18626.5028431339</v>
      </c>
      <c r="L959" s="15">
        <f t="shared" si="143"/>
        <v>0.169636917474878</v>
      </c>
      <c r="M959" s="15">
        <f t="shared" si="144"/>
        <v>0.204292460785967</v>
      </c>
      <c r="N959" s="16">
        <f t="shared" si="145"/>
        <v>22.5333333333333</v>
      </c>
      <c r="O959" s="16">
        <f t="shared" si="146"/>
        <v>1369891.47659783</v>
      </c>
      <c r="P959" s="16">
        <f t="shared" si="147"/>
        <v>1318756.40129388</v>
      </c>
      <c r="Q959" s="16">
        <f t="shared" si="148"/>
        <v>5.08474576271186</v>
      </c>
      <c r="R959" s="16">
        <f t="shared" si="149"/>
        <v>1.03877522433543</v>
      </c>
      <c r="S959" s="16">
        <v>41.8461538461538</v>
      </c>
    </row>
    <row r="960" spans="1:19">
      <c r="A960" s="5" t="s">
        <v>757</v>
      </c>
      <c r="B960" s="6">
        <v>76</v>
      </c>
      <c r="C960" s="6">
        <v>2</v>
      </c>
      <c r="D960" s="6">
        <v>1555</v>
      </c>
      <c r="E960" s="6">
        <v>275</v>
      </c>
      <c r="F960" s="6">
        <v>41.6</v>
      </c>
      <c r="G960" s="5" t="s">
        <v>20</v>
      </c>
      <c r="H960" s="6">
        <v>355</v>
      </c>
      <c r="I960" s="14">
        <f t="shared" si="140"/>
        <v>4536.45979178366</v>
      </c>
      <c r="J960" s="15">
        <f t="shared" si="141"/>
        <v>464.955712731289</v>
      </c>
      <c r="K960" s="15">
        <f t="shared" si="142"/>
        <v>4071.50407905237</v>
      </c>
      <c r="L960" s="15">
        <f t="shared" si="143"/>
        <v>0.102493074792244</v>
      </c>
      <c r="M960" s="15">
        <f t="shared" si="144"/>
        <v>0.114197530864198</v>
      </c>
      <c r="N960" s="16">
        <f t="shared" si="145"/>
        <v>38</v>
      </c>
      <c r="O960" s="16">
        <f t="shared" si="146"/>
        <v>127862.821001105</v>
      </c>
      <c r="P960" s="16">
        <f t="shared" si="147"/>
        <v>169374.569688579</v>
      </c>
      <c r="Q960" s="16">
        <f t="shared" si="148"/>
        <v>6.61057692307692</v>
      </c>
      <c r="R960" s="16">
        <f t="shared" si="149"/>
        <v>0.754911562203229</v>
      </c>
      <c r="S960" s="16">
        <v>81.8421052631579</v>
      </c>
    </row>
    <row r="961" spans="1:19">
      <c r="A961" s="5" t="s">
        <v>336</v>
      </c>
      <c r="B961" s="6">
        <v>76</v>
      </c>
      <c r="C961" s="6">
        <v>2</v>
      </c>
      <c r="D961" s="6">
        <v>1556</v>
      </c>
      <c r="E961" s="6">
        <v>275</v>
      </c>
      <c r="F961" s="6">
        <v>41.6</v>
      </c>
      <c r="G961" s="5" t="s">
        <v>20</v>
      </c>
      <c r="H961" s="6">
        <v>330</v>
      </c>
      <c r="I961" s="14">
        <f t="shared" si="140"/>
        <v>4536.45979178366</v>
      </c>
      <c r="J961" s="15">
        <f t="shared" si="141"/>
        <v>464.955712731289</v>
      </c>
      <c r="K961" s="15">
        <f t="shared" si="142"/>
        <v>4071.50407905237</v>
      </c>
      <c r="L961" s="15">
        <f t="shared" si="143"/>
        <v>0.102493074792244</v>
      </c>
      <c r="M961" s="15">
        <f t="shared" si="144"/>
        <v>0.114197530864198</v>
      </c>
      <c r="N961" s="16">
        <f t="shared" si="145"/>
        <v>38</v>
      </c>
      <c r="O961" s="16">
        <f t="shared" si="146"/>
        <v>127862.821001105</v>
      </c>
      <c r="P961" s="16">
        <f t="shared" si="147"/>
        <v>169374.569688579</v>
      </c>
      <c r="Q961" s="16">
        <f t="shared" si="148"/>
        <v>6.61057692307692</v>
      </c>
      <c r="R961" s="16">
        <f t="shared" si="149"/>
        <v>0.754911562203229</v>
      </c>
      <c r="S961" s="16">
        <v>81.8947368421053</v>
      </c>
    </row>
    <row r="962" spans="1:19">
      <c r="A962" s="5" t="s">
        <v>575</v>
      </c>
      <c r="B962" s="6">
        <v>219</v>
      </c>
      <c r="C962" s="6">
        <v>6</v>
      </c>
      <c r="D962" s="6">
        <v>1000</v>
      </c>
      <c r="E962" s="6">
        <v>325</v>
      </c>
      <c r="F962" s="6">
        <v>58</v>
      </c>
      <c r="G962" s="5" t="s">
        <v>20</v>
      </c>
      <c r="H962" s="6">
        <v>2989</v>
      </c>
      <c r="I962" s="14">
        <f t="shared" si="140"/>
        <v>37668.481314705</v>
      </c>
      <c r="J962" s="15">
        <f t="shared" si="141"/>
        <v>4014.95541128776</v>
      </c>
      <c r="K962" s="15">
        <f t="shared" si="142"/>
        <v>33653.5259034173</v>
      </c>
      <c r="L962" s="15">
        <f t="shared" si="143"/>
        <v>0.106586601613811</v>
      </c>
      <c r="M962" s="15">
        <f t="shared" si="144"/>
        <v>0.119302667506826</v>
      </c>
      <c r="N962" s="16">
        <f t="shared" si="145"/>
        <v>36.5</v>
      </c>
      <c r="O962" s="16">
        <f t="shared" si="146"/>
        <v>1304860.50866852</v>
      </c>
      <c r="P962" s="16">
        <f t="shared" si="147"/>
        <v>1951904.5023982</v>
      </c>
      <c r="Q962" s="16">
        <f t="shared" si="148"/>
        <v>5.60344827586207</v>
      </c>
      <c r="R962" s="16">
        <f t="shared" si="149"/>
        <v>0.668506326546871</v>
      </c>
      <c r="S962" s="16">
        <v>18.2648401826484</v>
      </c>
    </row>
    <row r="963" spans="1:19">
      <c r="A963" s="5" t="s">
        <v>581</v>
      </c>
      <c r="B963" s="6">
        <v>219</v>
      </c>
      <c r="C963" s="6">
        <v>4</v>
      </c>
      <c r="D963" s="6">
        <v>1000</v>
      </c>
      <c r="E963" s="6">
        <v>325</v>
      </c>
      <c r="F963" s="6">
        <v>47.6</v>
      </c>
      <c r="G963" s="5" t="s">
        <v>20</v>
      </c>
      <c r="H963" s="6">
        <v>1931</v>
      </c>
      <c r="I963" s="14">
        <f t="shared" ref="I963:I1026" si="150">(PI()*B963^2)/4</f>
        <v>37668.481314705</v>
      </c>
      <c r="J963" s="15">
        <f t="shared" ref="J963:J1026" si="151">(PI()*(B963^2-(B963-2*C963)^2))/4</f>
        <v>2701.76968208722</v>
      </c>
      <c r="K963" s="15">
        <f t="shared" ref="K963:K1026" si="152">(PI()*(B963-2*C963)^2)/4</f>
        <v>34966.7116326178</v>
      </c>
      <c r="L963" s="15">
        <f t="shared" ref="L963:L1026" si="153">J963/I963</f>
        <v>0.0717249431830029</v>
      </c>
      <c r="M963" s="15">
        <f t="shared" ref="M963:M1026" si="154">J963/K963</f>
        <v>0.0772669077513982</v>
      </c>
      <c r="N963" s="16">
        <f t="shared" ref="N963:N1026" si="155">B963/C963</f>
        <v>54.75</v>
      </c>
      <c r="O963" s="16">
        <f t="shared" ref="O963:O1026" si="156">J963*E963</f>
        <v>878075.146678347</v>
      </c>
      <c r="P963" s="16">
        <f t="shared" ref="P963:P1026" si="157">K963*F963</f>
        <v>1664415.47371261</v>
      </c>
      <c r="Q963" s="16">
        <f t="shared" ref="Q963:Q1026" si="158">E963/F963</f>
        <v>6.82773109243697</v>
      </c>
      <c r="R963" s="16">
        <f t="shared" ref="R963:R1026" si="159">O963/P963</f>
        <v>0.527557668470681</v>
      </c>
      <c r="S963" s="16">
        <v>18.2648401826484</v>
      </c>
    </row>
    <row r="964" spans="1:19">
      <c r="A964" s="5" t="s">
        <v>479</v>
      </c>
      <c r="B964" s="6">
        <v>219</v>
      </c>
      <c r="C964" s="6">
        <v>4</v>
      </c>
      <c r="D964" s="6">
        <v>1000</v>
      </c>
      <c r="E964" s="6">
        <v>325</v>
      </c>
      <c r="F964" s="6">
        <v>52.3</v>
      </c>
      <c r="G964" s="5" t="s">
        <v>20</v>
      </c>
      <c r="H964" s="6">
        <v>1980</v>
      </c>
      <c r="I964" s="14">
        <f t="shared" si="150"/>
        <v>37668.481314705</v>
      </c>
      <c r="J964" s="15">
        <f t="shared" si="151"/>
        <v>2701.76968208722</v>
      </c>
      <c r="K964" s="15">
        <f t="shared" si="152"/>
        <v>34966.7116326178</v>
      </c>
      <c r="L964" s="15">
        <f t="shared" si="153"/>
        <v>0.0717249431830029</v>
      </c>
      <c r="M964" s="15">
        <f t="shared" si="154"/>
        <v>0.0772669077513982</v>
      </c>
      <c r="N964" s="16">
        <f t="shared" si="155"/>
        <v>54.75</v>
      </c>
      <c r="O964" s="16">
        <f t="shared" si="156"/>
        <v>878075.146678347</v>
      </c>
      <c r="P964" s="16">
        <f t="shared" si="157"/>
        <v>1828759.01838591</v>
      </c>
      <c r="Q964" s="16">
        <f t="shared" si="158"/>
        <v>6.21414913957935</v>
      </c>
      <c r="R964" s="16">
        <f t="shared" si="159"/>
        <v>0.480148088321308</v>
      </c>
      <c r="S964" s="16">
        <v>18.2648401826484</v>
      </c>
    </row>
    <row r="965" spans="1:19">
      <c r="A965" s="5" t="s">
        <v>758</v>
      </c>
      <c r="B965" s="6">
        <v>219</v>
      </c>
      <c r="C965" s="6">
        <v>7</v>
      </c>
      <c r="D965" s="6">
        <v>1200</v>
      </c>
      <c r="E965" s="6">
        <v>273</v>
      </c>
      <c r="F965" s="6">
        <v>38.2</v>
      </c>
      <c r="G965" s="5" t="s">
        <v>20</v>
      </c>
      <c r="H965" s="6">
        <v>3200</v>
      </c>
      <c r="I965" s="14">
        <f t="shared" si="150"/>
        <v>37668.481314705</v>
      </c>
      <c r="J965" s="15">
        <f t="shared" si="151"/>
        <v>4662.12349792725</v>
      </c>
      <c r="K965" s="15">
        <f t="shared" si="152"/>
        <v>33006.3578167778</v>
      </c>
      <c r="L965" s="15">
        <f t="shared" si="153"/>
        <v>0.123767227539042</v>
      </c>
      <c r="M965" s="15">
        <f t="shared" si="154"/>
        <v>0.141249256395003</v>
      </c>
      <c r="N965" s="16">
        <f t="shared" si="155"/>
        <v>31.2857142857143</v>
      </c>
      <c r="O965" s="16">
        <f t="shared" si="156"/>
        <v>1272759.71493414</v>
      </c>
      <c r="P965" s="16">
        <f t="shared" si="157"/>
        <v>1260842.86860091</v>
      </c>
      <c r="Q965" s="16">
        <f t="shared" si="158"/>
        <v>7.14659685863874</v>
      </c>
      <c r="R965" s="16">
        <f t="shared" si="159"/>
        <v>1.00945149203759</v>
      </c>
      <c r="S965" s="16">
        <v>21.9178082191781</v>
      </c>
    </row>
    <row r="966" spans="1:19">
      <c r="A966" s="5" t="s">
        <v>759</v>
      </c>
      <c r="B966" s="6">
        <v>219</v>
      </c>
      <c r="C966" s="6">
        <v>7</v>
      </c>
      <c r="D966" s="6">
        <v>1200</v>
      </c>
      <c r="E966" s="6">
        <v>273</v>
      </c>
      <c r="F966" s="6">
        <v>38.2</v>
      </c>
      <c r="G966" s="5" t="s">
        <v>20</v>
      </c>
      <c r="H966" s="6">
        <v>3200</v>
      </c>
      <c r="I966" s="14">
        <f t="shared" si="150"/>
        <v>37668.481314705</v>
      </c>
      <c r="J966" s="15">
        <f t="shared" si="151"/>
        <v>4662.12349792725</v>
      </c>
      <c r="K966" s="15">
        <f t="shared" si="152"/>
        <v>33006.3578167778</v>
      </c>
      <c r="L966" s="15">
        <f t="shared" si="153"/>
        <v>0.123767227539042</v>
      </c>
      <c r="M966" s="15">
        <f t="shared" si="154"/>
        <v>0.141249256395003</v>
      </c>
      <c r="N966" s="16">
        <f t="shared" si="155"/>
        <v>31.2857142857143</v>
      </c>
      <c r="O966" s="16">
        <f t="shared" si="156"/>
        <v>1272759.71493414</v>
      </c>
      <c r="P966" s="16">
        <f t="shared" si="157"/>
        <v>1260842.86860091</v>
      </c>
      <c r="Q966" s="16">
        <f t="shared" si="158"/>
        <v>7.14659685863874</v>
      </c>
      <c r="R966" s="16">
        <f t="shared" si="159"/>
        <v>1.00945149203759</v>
      </c>
      <c r="S966" s="16">
        <v>21.9178082191781</v>
      </c>
    </row>
    <row r="967" spans="1:19">
      <c r="A967" s="5" t="s">
        <v>760</v>
      </c>
      <c r="B967" s="5">
        <v>219</v>
      </c>
      <c r="C967" s="5">
        <v>7</v>
      </c>
      <c r="D967" s="5">
        <v>1200</v>
      </c>
      <c r="E967" s="5">
        <v>273</v>
      </c>
      <c r="F967" s="5">
        <v>38.2</v>
      </c>
      <c r="G967" s="5" t="s">
        <v>20</v>
      </c>
      <c r="H967" s="5">
        <v>3200</v>
      </c>
      <c r="I967" s="14">
        <f t="shared" si="150"/>
        <v>37668.481314705</v>
      </c>
      <c r="J967" s="15">
        <f t="shared" si="151"/>
        <v>4662.12349792725</v>
      </c>
      <c r="K967" s="15">
        <f t="shared" si="152"/>
        <v>33006.3578167778</v>
      </c>
      <c r="L967" s="15">
        <f t="shared" si="153"/>
        <v>0.123767227539042</v>
      </c>
      <c r="M967" s="15">
        <f t="shared" si="154"/>
        <v>0.141249256395003</v>
      </c>
      <c r="N967" s="16">
        <f t="shared" si="155"/>
        <v>31.2857142857143</v>
      </c>
      <c r="O967" s="16">
        <f t="shared" si="156"/>
        <v>1272759.71493414</v>
      </c>
      <c r="P967" s="16">
        <f t="shared" si="157"/>
        <v>1260842.86860091</v>
      </c>
      <c r="Q967" s="16">
        <f t="shared" si="158"/>
        <v>7.14659685863874</v>
      </c>
      <c r="R967" s="16">
        <f t="shared" si="159"/>
        <v>1.00945149203759</v>
      </c>
      <c r="S967" s="16">
        <v>21.9178082191781</v>
      </c>
    </row>
    <row r="968" spans="1:19">
      <c r="A968" s="5" t="s">
        <v>761</v>
      </c>
      <c r="B968" s="5">
        <v>219</v>
      </c>
      <c r="C968" s="5">
        <v>7</v>
      </c>
      <c r="D968" s="5">
        <v>1420</v>
      </c>
      <c r="E968" s="5">
        <v>273</v>
      </c>
      <c r="F968" s="5">
        <v>38.2</v>
      </c>
      <c r="G968" s="5" t="s">
        <v>20</v>
      </c>
      <c r="H968" s="5">
        <v>3070</v>
      </c>
      <c r="I968" s="14">
        <f t="shared" si="150"/>
        <v>37668.481314705</v>
      </c>
      <c r="J968" s="15">
        <f t="shared" si="151"/>
        <v>4662.12349792725</v>
      </c>
      <c r="K968" s="15">
        <f t="shared" si="152"/>
        <v>33006.3578167778</v>
      </c>
      <c r="L968" s="15">
        <f t="shared" si="153"/>
        <v>0.123767227539042</v>
      </c>
      <c r="M968" s="15">
        <f t="shared" si="154"/>
        <v>0.141249256395003</v>
      </c>
      <c r="N968" s="16">
        <f t="shared" si="155"/>
        <v>31.2857142857143</v>
      </c>
      <c r="O968" s="16">
        <f t="shared" si="156"/>
        <v>1272759.71493414</v>
      </c>
      <c r="P968" s="16">
        <f t="shared" si="157"/>
        <v>1260842.86860091</v>
      </c>
      <c r="Q968" s="16">
        <f t="shared" si="158"/>
        <v>7.14659685863874</v>
      </c>
      <c r="R968" s="16">
        <f t="shared" si="159"/>
        <v>1.00945149203759</v>
      </c>
      <c r="S968" s="16">
        <v>25.9360730593607</v>
      </c>
    </row>
    <row r="969" spans="1:19">
      <c r="A969" s="5" t="s">
        <v>762</v>
      </c>
      <c r="B969" s="5">
        <v>219</v>
      </c>
      <c r="C969" s="5">
        <v>7</v>
      </c>
      <c r="D969" s="5">
        <v>1420</v>
      </c>
      <c r="E969" s="5">
        <v>273</v>
      </c>
      <c r="F969" s="5">
        <v>38.2</v>
      </c>
      <c r="G969" s="5" t="s">
        <v>20</v>
      </c>
      <c r="H969" s="5">
        <v>3070</v>
      </c>
      <c r="I969" s="14">
        <f t="shared" si="150"/>
        <v>37668.481314705</v>
      </c>
      <c r="J969" s="15">
        <f t="shared" si="151"/>
        <v>4662.12349792725</v>
      </c>
      <c r="K969" s="15">
        <f t="shared" si="152"/>
        <v>33006.3578167778</v>
      </c>
      <c r="L969" s="15">
        <f t="shared" si="153"/>
        <v>0.123767227539042</v>
      </c>
      <c r="M969" s="15">
        <f t="shared" si="154"/>
        <v>0.141249256395003</v>
      </c>
      <c r="N969" s="16">
        <f t="shared" si="155"/>
        <v>31.2857142857143</v>
      </c>
      <c r="O969" s="16">
        <f t="shared" si="156"/>
        <v>1272759.71493414</v>
      </c>
      <c r="P969" s="16">
        <f t="shared" si="157"/>
        <v>1260842.86860091</v>
      </c>
      <c r="Q969" s="16">
        <f t="shared" si="158"/>
        <v>7.14659685863874</v>
      </c>
      <c r="R969" s="16">
        <f t="shared" si="159"/>
        <v>1.00945149203759</v>
      </c>
      <c r="S969" s="16">
        <v>25.9360730593607</v>
      </c>
    </row>
    <row r="970" spans="1:19">
      <c r="A970" s="5" t="s">
        <v>763</v>
      </c>
      <c r="B970" s="5">
        <v>219</v>
      </c>
      <c r="C970" s="5">
        <v>7</v>
      </c>
      <c r="D970" s="5">
        <v>1420</v>
      </c>
      <c r="E970" s="5">
        <v>273</v>
      </c>
      <c r="F970" s="5">
        <v>38.2</v>
      </c>
      <c r="G970" s="5" t="s">
        <v>20</v>
      </c>
      <c r="H970" s="5">
        <v>3070</v>
      </c>
      <c r="I970" s="14">
        <f t="shared" si="150"/>
        <v>37668.481314705</v>
      </c>
      <c r="J970" s="15">
        <f t="shared" si="151"/>
        <v>4662.12349792725</v>
      </c>
      <c r="K970" s="15">
        <f t="shared" si="152"/>
        <v>33006.3578167778</v>
      </c>
      <c r="L970" s="15">
        <f t="shared" si="153"/>
        <v>0.123767227539042</v>
      </c>
      <c r="M970" s="15">
        <f t="shared" si="154"/>
        <v>0.141249256395003</v>
      </c>
      <c r="N970" s="16">
        <f t="shared" si="155"/>
        <v>31.2857142857143</v>
      </c>
      <c r="O970" s="16">
        <f t="shared" si="156"/>
        <v>1272759.71493414</v>
      </c>
      <c r="P970" s="16">
        <f t="shared" si="157"/>
        <v>1260842.86860091</v>
      </c>
      <c r="Q970" s="16">
        <f t="shared" si="158"/>
        <v>7.14659685863874</v>
      </c>
      <c r="R970" s="16">
        <f t="shared" si="159"/>
        <v>1.00945149203759</v>
      </c>
      <c r="S970" s="16">
        <v>25.9360730593607</v>
      </c>
    </row>
    <row r="971" spans="1:19">
      <c r="A971" s="5" t="s">
        <v>764</v>
      </c>
      <c r="B971" s="5">
        <v>219</v>
      </c>
      <c r="C971" s="5">
        <v>7</v>
      </c>
      <c r="D971" s="5">
        <v>1640</v>
      </c>
      <c r="E971" s="5">
        <v>273</v>
      </c>
      <c r="F971" s="5">
        <v>38.2</v>
      </c>
      <c r="G971" s="5" t="s">
        <v>20</v>
      </c>
      <c r="H971" s="5">
        <v>2956</v>
      </c>
      <c r="I971" s="14">
        <f t="shared" si="150"/>
        <v>37668.481314705</v>
      </c>
      <c r="J971" s="15">
        <f t="shared" si="151"/>
        <v>4662.12349792725</v>
      </c>
      <c r="K971" s="15">
        <f t="shared" si="152"/>
        <v>33006.3578167778</v>
      </c>
      <c r="L971" s="15">
        <f t="shared" si="153"/>
        <v>0.123767227539042</v>
      </c>
      <c r="M971" s="15">
        <f t="shared" si="154"/>
        <v>0.141249256395003</v>
      </c>
      <c r="N971" s="16">
        <f t="shared" si="155"/>
        <v>31.2857142857143</v>
      </c>
      <c r="O971" s="16">
        <f t="shared" si="156"/>
        <v>1272759.71493414</v>
      </c>
      <c r="P971" s="16">
        <f t="shared" si="157"/>
        <v>1260842.86860091</v>
      </c>
      <c r="Q971" s="16">
        <f t="shared" si="158"/>
        <v>7.14659685863874</v>
      </c>
      <c r="R971" s="16">
        <f t="shared" si="159"/>
        <v>1.00945149203759</v>
      </c>
      <c r="S971" s="16">
        <v>29.9543378995434</v>
      </c>
    </row>
    <row r="972" spans="1:19">
      <c r="A972" s="5" t="s">
        <v>765</v>
      </c>
      <c r="B972" s="5">
        <v>219</v>
      </c>
      <c r="C972" s="5">
        <v>7</v>
      </c>
      <c r="D972" s="5">
        <v>1640</v>
      </c>
      <c r="E972" s="5">
        <v>273</v>
      </c>
      <c r="F972" s="5">
        <v>38.2</v>
      </c>
      <c r="G972" s="5" t="s">
        <v>20</v>
      </c>
      <c r="H972" s="5">
        <v>2956</v>
      </c>
      <c r="I972" s="14">
        <f t="shared" si="150"/>
        <v>37668.481314705</v>
      </c>
      <c r="J972" s="15">
        <f t="shared" si="151"/>
        <v>4662.12349792725</v>
      </c>
      <c r="K972" s="15">
        <f t="shared" si="152"/>
        <v>33006.3578167778</v>
      </c>
      <c r="L972" s="15">
        <f t="shared" si="153"/>
        <v>0.123767227539042</v>
      </c>
      <c r="M972" s="15">
        <f t="shared" si="154"/>
        <v>0.141249256395003</v>
      </c>
      <c r="N972" s="16">
        <f t="shared" si="155"/>
        <v>31.2857142857143</v>
      </c>
      <c r="O972" s="16">
        <f t="shared" si="156"/>
        <v>1272759.71493414</v>
      </c>
      <c r="P972" s="16">
        <f t="shared" si="157"/>
        <v>1260842.86860091</v>
      </c>
      <c r="Q972" s="16">
        <f t="shared" si="158"/>
        <v>7.14659685863874</v>
      </c>
      <c r="R972" s="16">
        <f t="shared" si="159"/>
        <v>1.00945149203759</v>
      </c>
      <c r="S972" s="16">
        <v>29.9543378995434</v>
      </c>
    </row>
    <row r="973" spans="1:19">
      <c r="A973" s="5" t="s">
        <v>766</v>
      </c>
      <c r="B973" s="5">
        <v>219</v>
      </c>
      <c r="C973" s="5">
        <v>7</v>
      </c>
      <c r="D973" s="5">
        <v>1640</v>
      </c>
      <c r="E973" s="5">
        <v>273</v>
      </c>
      <c r="F973" s="5">
        <v>38.2</v>
      </c>
      <c r="G973" s="5" t="s">
        <v>20</v>
      </c>
      <c r="H973" s="5">
        <v>2956</v>
      </c>
      <c r="I973" s="14">
        <f t="shared" si="150"/>
        <v>37668.481314705</v>
      </c>
      <c r="J973" s="15">
        <f t="shared" si="151"/>
        <v>4662.12349792725</v>
      </c>
      <c r="K973" s="15">
        <f t="shared" si="152"/>
        <v>33006.3578167778</v>
      </c>
      <c r="L973" s="15">
        <f t="shared" si="153"/>
        <v>0.123767227539042</v>
      </c>
      <c r="M973" s="15">
        <f t="shared" si="154"/>
        <v>0.141249256395003</v>
      </c>
      <c r="N973" s="16">
        <f t="shared" si="155"/>
        <v>31.2857142857143</v>
      </c>
      <c r="O973" s="16">
        <f t="shared" si="156"/>
        <v>1272759.71493414</v>
      </c>
      <c r="P973" s="16">
        <f t="shared" si="157"/>
        <v>1260842.86860091</v>
      </c>
      <c r="Q973" s="16">
        <f t="shared" si="158"/>
        <v>7.14659685863874</v>
      </c>
      <c r="R973" s="16">
        <f t="shared" si="159"/>
        <v>1.00945149203759</v>
      </c>
      <c r="S973" s="16">
        <v>29.9543378995434</v>
      </c>
    </row>
    <row r="974" spans="1:19">
      <c r="A974" s="5">
        <v>2</v>
      </c>
      <c r="B974" s="5">
        <v>114.3</v>
      </c>
      <c r="C974" s="5">
        <v>3.35</v>
      </c>
      <c r="D974" s="5">
        <v>571.5</v>
      </c>
      <c r="E974" s="5">
        <v>287.33</v>
      </c>
      <c r="F974" s="5">
        <v>32.68</v>
      </c>
      <c r="G974" s="5" t="s">
        <v>20</v>
      </c>
      <c r="H974" s="5">
        <v>739.5</v>
      </c>
      <c r="I974" s="14">
        <f t="shared" si="150"/>
        <v>10260.8264517243</v>
      </c>
      <c r="J974" s="15">
        <f t="shared" si="151"/>
        <v>1167.67501146789</v>
      </c>
      <c r="K974" s="15">
        <f t="shared" si="152"/>
        <v>9093.15144025644</v>
      </c>
      <c r="L974" s="15">
        <f t="shared" si="153"/>
        <v>0.113799314018381</v>
      </c>
      <c r="M974" s="15">
        <f t="shared" si="154"/>
        <v>0.128412577217009</v>
      </c>
      <c r="N974" s="16">
        <f t="shared" si="155"/>
        <v>34.1194029850746</v>
      </c>
      <c r="O974" s="16">
        <f t="shared" si="156"/>
        <v>335508.061045069</v>
      </c>
      <c r="P974" s="16">
        <f t="shared" si="157"/>
        <v>297164.18906758</v>
      </c>
      <c r="Q974" s="16">
        <f t="shared" si="158"/>
        <v>8.7922276621787</v>
      </c>
      <c r="R974" s="16">
        <f t="shared" si="159"/>
        <v>1.12903261357905</v>
      </c>
      <c r="S974" s="16">
        <v>20</v>
      </c>
    </row>
    <row r="975" spans="1:19">
      <c r="A975" s="5">
        <v>3</v>
      </c>
      <c r="B975" s="5">
        <v>114.3</v>
      </c>
      <c r="C975" s="5">
        <v>3.35</v>
      </c>
      <c r="D975" s="5">
        <v>800</v>
      </c>
      <c r="E975" s="5">
        <v>287.33</v>
      </c>
      <c r="F975" s="5">
        <v>32.68</v>
      </c>
      <c r="G975" s="5" t="s">
        <v>20</v>
      </c>
      <c r="H975" s="5">
        <v>631.5</v>
      </c>
      <c r="I975" s="14">
        <f t="shared" si="150"/>
        <v>10260.8264517243</v>
      </c>
      <c r="J975" s="15">
        <f t="shared" si="151"/>
        <v>1167.67501146789</v>
      </c>
      <c r="K975" s="15">
        <f t="shared" si="152"/>
        <v>9093.15144025644</v>
      </c>
      <c r="L975" s="15">
        <f t="shared" si="153"/>
        <v>0.113799314018381</v>
      </c>
      <c r="M975" s="15">
        <f t="shared" si="154"/>
        <v>0.128412577217009</v>
      </c>
      <c r="N975" s="16">
        <f t="shared" si="155"/>
        <v>34.1194029850746</v>
      </c>
      <c r="O975" s="16">
        <f t="shared" si="156"/>
        <v>335508.061045069</v>
      </c>
      <c r="P975" s="16">
        <f t="shared" si="157"/>
        <v>297164.18906758</v>
      </c>
      <c r="Q975" s="16">
        <f t="shared" si="158"/>
        <v>8.7922276621787</v>
      </c>
      <c r="R975" s="16">
        <f t="shared" si="159"/>
        <v>1.12903261357905</v>
      </c>
      <c r="S975" s="16">
        <v>27.9965004374453</v>
      </c>
    </row>
    <row r="976" spans="1:19">
      <c r="A976" s="5">
        <v>4</v>
      </c>
      <c r="B976" s="5">
        <v>114.3</v>
      </c>
      <c r="C976" s="5">
        <v>3.35</v>
      </c>
      <c r="D976" s="5">
        <v>1143</v>
      </c>
      <c r="E976" s="5">
        <v>287.33</v>
      </c>
      <c r="F976" s="5">
        <v>32.68</v>
      </c>
      <c r="G976" s="5" t="s">
        <v>20</v>
      </c>
      <c r="H976" s="5">
        <v>599.3</v>
      </c>
      <c r="I976" s="14">
        <f t="shared" si="150"/>
        <v>10260.8264517243</v>
      </c>
      <c r="J976" s="15">
        <f t="shared" si="151"/>
        <v>1167.67501146789</v>
      </c>
      <c r="K976" s="15">
        <f t="shared" si="152"/>
        <v>9093.15144025644</v>
      </c>
      <c r="L976" s="15">
        <f t="shared" si="153"/>
        <v>0.113799314018381</v>
      </c>
      <c r="M976" s="15">
        <f t="shared" si="154"/>
        <v>0.128412577217009</v>
      </c>
      <c r="N976" s="16">
        <f t="shared" si="155"/>
        <v>34.1194029850746</v>
      </c>
      <c r="O976" s="16">
        <f t="shared" si="156"/>
        <v>335508.061045069</v>
      </c>
      <c r="P976" s="16">
        <f t="shared" si="157"/>
        <v>297164.18906758</v>
      </c>
      <c r="Q976" s="16">
        <f t="shared" si="158"/>
        <v>8.7922276621787</v>
      </c>
      <c r="R976" s="16">
        <f t="shared" si="159"/>
        <v>1.12903261357905</v>
      </c>
      <c r="S976" s="16">
        <v>40</v>
      </c>
    </row>
    <row r="977" spans="1:19">
      <c r="A977" s="5">
        <v>6</v>
      </c>
      <c r="B977" s="5">
        <v>114.3</v>
      </c>
      <c r="C977" s="5">
        <v>3.35</v>
      </c>
      <c r="D977" s="5">
        <v>571.5</v>
      </c>
      <c r="E977" s="5">
        <v>287.33</v>
      </c>
      <c r="F977" s="5">
        <v>58.68</v>
      </c>
      <c r="G977" s="5" t="s">
        <v>20</v>
      </c>
      <c r="H977" s="5">
        <v>902.9</v>
      </c>
      <c r="I977" s="14">
        <f t="shared" si="150"/>
        <v>10260.8264517243</v>
      </c>
      <c r="J977" s="15">
        <f t="shared" si="151"/>
        <v>1167.67501146789</v>
      </c>
      <c r="K977" s="15">
        <f t="shared" si="152"/>
        <v>9093.15144025644</v>
      </c>
      <c r="L977" s="15">
        <f t="shared" si="153"/>
        <v>0.113799314018381</v>
      </c>
      <c r="M977" s="15">
        <f t="shared" si="154"/>
        <v>0.128412577217009</v>
      </c>
      <c r="N977" s="16">
        <f t="shared" si="155"/>
        <v>34.1194029850746</v>
      </c>
      <c r="O977" s="16">
        <f t="shared" si="156"/>
        <v>335508.061045069</v>
      </c>
      <c r="P977" s="16">
        <f t="shared" si="157"/>
        <v>533586.126514248</v>
      </c>
      <c r="Q977" s="16">
        <f t="shared" si="158"/>
        <v>4.89655760054533</v>
      </c>
      <c r="R977" s="16">
        <f t="shared" si="159"/>
        <v>0.628779580977561</v>
      </c>
      <c r="S977" s="16">
        <v>20</v>
      </c>
    </row>
    <row r="978" spans="1:19">
      <c r="A978" s="5">
        <v>7</v>
      </c>
      <c r="B978" s="5">
        <v>114.3</v>
      </c>
      <c r="C978" s="5">
        <v>3.35</v>
      </c>
      <c r="D978" s="5">
        <v>800</v>
      </c>
      <c r="E978" s="5">
        <v>287.33</v>
      </c>
      <c r="F978" s="5">
        <v>58.68</v>
      </c>
      <c r="G978" s="5" t="s">
        <v>20</v>
      </c>
      <c r="H978" s="5">
        <v>868.5</v>
      </c>
      <c r="I978" s="14">
        <f t="shared" si="150"/>
        <v>10260.8264517243</v>
      </c>
      <c r="J978" s="15">
        <f t="shared" si="151"/>
        <v>1167.67501146789</v>
      </c>
      <c r="K978" s="15">
        <f t="shared" si="152"/>
        <v>9093.15144025644</v>
      </c>
      <c r="L978" s="15">
        <f t="shared" si="153"/>
        <v>0.113799314018381</v>
      </c>
      <c r="M978" s="15">
        <f t="shared" si="154"/>
        <v>0.128412577217009</v>
      </c>
      <c r="N978" s="16">
        <f t="shared" si="155"/>
        <v>34.1194029850746</v>
      </c>
      <c r="O978" s="16">
        <f t="shared" si="156"/>
        <v>335508.061045069</v>
      </c>
      <c r="P978" s="16">
        <f t="shared" si="157"/>
        <v>533586.126514248</v>
      </c>
      <c r="Q978" s="16">
        <f t="shared" si="158"/>
        <v>4.89655760054533</v>
      </c>
      <c r="R978" s="16">
        <f t="shared" si="159"/>
        <v>0.628779580977561</v>
      </c>
      <c r="S978" s="16">
        <v>27.9965004374453</v>
      </c>
    </row>
    <row r="979" spans="1:19">
      <c r="A979" s="5">
        <v>8</v>
      </c>
      <c r="B979" s="5">
        <v>114.3</v>
      </c>
      <c r="C979" s="5">
        <v>3.35</v>
      </c>
      <c r="D979" s="5">
        <v>1143</v>
      </c>
      <c r="E979" s="5">
        <v>287.33</v>
      </c>
      <c r="F979" s="5">
        <v>58.68</v>
      </c>
      <c r="G979" s="5" t="s">
        <v>20</v>
      </c>
      <c r="H979" s="5">
        <v>809.2</v>
      </c>
      <c r="I979" s="14">
        <f t="shared" si="150"/>
        <v>10260.8264517243</v>
      </c>
      <c r="J979" s="15">
        <f t="shared" si="151"/>
        <v>1167.67501146789</v>
      </c>
      <c r="K979" s="15">
        <f t="shared" si="152"/>
        <v>9093.15144025644</v>
      </c>
      <c r="L979" s="15">
        <f t="shared" si="153"/>
        <v>0.113799314018381</v>
      </c>
      <c r="M979" s="15">
        <f t="shared" si="154"/>
        <v>0.128412577217009</v>
      </c>
      <c r="N979" s="16">
        <f t="shared" si="155"/>
        <v>34.1194029850746</v>
      </c>
      <c r="O979" s="16">
        <f t="shared" si="156"/>
        <v>335508.061045069</v>
      </c>
      <c r="P979" s="16">
        <f t="shared" si="157"/>
        <v>533586.126514248</v>
      </c>
      <c r="Q979" s="16">
        <f t="shared" si="158"/>
        <v>4.89655760054533</v>
      </c>
      <c r="R979" s="16">
        <f t="shared" si="159"/>
        <v>0.628779580977561</v>
      </c>
      <c r="S979" s="16">
        <v>40</v>
      </c>
    </row>
    <row r="980" spans="1:19">
      <c r="A980" s="5">
        <v>10</v>
      </c>
      <c r="B980" s="5">
        <v>114.3</v>
      </c>
      <c r="C980" s="5">
        <v>3.35</v>
      </c>
      <c r="D980" s="5">
        <v>571.5</v>
      </c>
      <c r="E980" s="5">
        <v>287.33</v>
      </c>
      <c r="F980" s="5">
        <v>88.78</v>
      </c>
      <c r="G980" s="5" t="s">
        <v>20</v>
      </c>
      <c r="H980" s="5">
        <v>1180.7</v>
      </c>
      <c r="I980" s="14">
        <f t="shared" si="150"/>
        <v>10260.8264517243</v>
      </c>
      <c r="J980" s="15">
        <f t="shared" si="151"/>
        <v>1167.67501146789</v>
      </c>
      <c r="K980" s="15">
        <f t="shared" si="152"/>
        <v>9093.15144025644</v>
      </c>
      <c r="L980" s="15">
        <f t="shared" si="153"/>
        <v>0.113799314018381</v>
      </c>
      <c r="M980" s="15">
        <f t="shared" si="154"/>
        <v>0.128412577217009</v>
      </c>
      <c r="N980" s="16">
        <f t="shared" si="155"/>
        <v>34.1194029850746</v>
      </c>
      <c r="O980" s="16">
        <f t="shared" si="156"/>
        <v>335508.061045069</v>
      </c>
      <c r="P980" s="16">
        <f t="shared" si="157"/>
        <v>807289.984865967</v>
      </c>
      <c r="Q980" s="16">
        <f t="shared" si="158"/>
        <v>3.23642712322595</v>
      </c>
      <c r="R980" s="16">
        <f t="shared" si="159"/>
        <v>0.415597947868476</v>
      </c>
      <c r="S980" s="16">
        <v>20</v>
      </c>
    </row>
    <row r="981" spans="1:19">
      <c r="A981" s="5">
        <v>11</v>
      </c>
      <c r="B981" s="5">
        <v>114.3</v>
      </c>
      <c r="C981" s="5">
        <v>3.35</v>
      </c>
      <c r="D981" s="5">
        <v>800</v>
      </c>
      <c r="E981" s="5">
        <v>287.33</v>
      </c>
      <c r="F981" s="5">
        <v>88.78</v>
      </c>
      <c r="G981" s="5" t="s">
        <v>20</v>
      </c>
      <c r="H981" s="5">
        <v>1198.3</v>
      </c>
      <c r="I981" s="14">
        <f t="shared" si="150"/>
        <v>10260.8264517243</v>
      </c>
      <c r="J981" s="15">
        <f t="shared" si="151"/>
        <v>1167.67501146789</v>
      </c>
      <c r="K981" s="15">
        <f t="shared" si="152"/>
        <v>9093.15144025644</v>
      </c>
      <c r="L981" s="15">
        <f t="shared" si="153"/>
        <v>0.113799314018381</v>
      </c>
      <c r="M981" s="15">
        <f t="shared" si="154"/>
        <v>0.128412577217009</v>
      </c>
      <c r="N981" s="16">
        <f t="shared" si="155"/>
        <v>34.1194029850746</v>
      </c>
      <c r="O981" s="16">
        <f t="shared" si="156"/>
        <v>335508.061045069</v>
      </c>
      <c r="P981" s="16">
        <f t="shared" si="157"/>
        <v>807289.984865967</v>
      </c>
      <c r="Q981" s="16">
        <f t="shared" si="158"/>
        <v>3.23642712322595</v>
      </c>
      <c r="R981" s="16">
        <f t="shared" si="159"/>
        <v>0.415597947868476</v>
      </c>
      <c r="S981" s="16">
        <v>27.9965004374453</v>
      </c>
    </row>
    <row r="982" spans="1:19">
      <c r="A982" s="5">
        <v>12</v>
      </c>
      <c r="B982" s="5">
        <v>114.3</v>
      </c>
      <c r="C982" s="5">
        <v>3.35</v>
      </c>
      <c r="D982" s="5">
        <v>1143</v>
      </c>
      <c r="E982" s="5">
        <v>287.33</v>
      </c>
      <c r="F982" s="5">
        <v>88.78</v>
      </c>
      <c r="G982" s="5" t="s">
        <v>20</v>
      </c>
      <c r="H982" s="5">
        <v>1111.6</v>
      </c>
      <c r="I982" s="14">
        <f t="shared" si="150"/>
        <v>10260.8264517243</v>
      </c>
      <c r="J982" s="15">
        <f t="shared" si="151"/>
        <v>1167.67501146789</v>
      </c>
      <c r="K982" s="15">
        <f t="shared" si="152"/>
        <v>9093.15144025644</v>
      </c>
      <c r="L982" s="15">
        <f t="shared" si="153"/>
        <v>0.113799314018381</v>
      </c>
      <c r="M982" s="15">
        <f t="shared" si="154"/>
        <v>0.128412577217009</v>
      </c>
      <c r="N982" s="16">
        <f t="shared" si="155"/>
        <v>34.1194029850746</v>
      </c>
      <c r="O982" s="16">
        <f t="shared" si="156"/>
        <v>335508.061045069</v>
      </c>
      <c r="P982" s="16">
        <f t="shared" si="157"/>
        <v>807289.984865967</v>
      </c>
      <c r="Q982" s="16">
        <f t="shared" si="158"/>
        <v>3.23642712322595</v>
      </c>
      <c r="R982" s="16">
        <f t="shared" si="159"/>
        <v>0.415597947868476</v>
      </c>
      <c r="S982" s="16">
        <v>40</v>
      </c>
    </row>
    <row r="983" spans="1:19">
      <c r="A983" s="5">
        <v>14</v>
      </c>
      <c r="B983" s="5">
        <v>114.3</v>
      </c>
      <c r="C983" s="5">
        <v>3.35</v>
      </c>
      <c r="D983" s="5">
        <v>571.5</v>
      </c>
      <c r="E983" s="5">
        <v>287.33</v>
      </c>
      <c r="F983" s="5">
        <v>105.45</v>
      </c>
      <c r="G983" s="5" t="s">
        <v>20</v>
      </c>
      <c r="H983" s="5">
        <v>1407.1</v>
      </c>
      <c r="I983" s="14">
        <f t="shared" si="150"/>
        <v>10260.8264517243</v>
      </c>
      <c r="J983" s="15">
        <f t="shared" si="151"/>
        <v>1167.67501146789</v>
      </c>
      <c r="K983" s="15">
        <f t="shared" si="152"/>
        <v>9093.15144025644</v>
      </c>
      <c r="L983" s="15">
        <f t="shared" si="153"/>
        <v>0.113799314018381</v>
      </c>
      <c r="M983" s="15">
        <f t="shared" si="154"/>
        <v>0.128412577217009</v>
      </c>
      <c r="N983" s="16">
        <f t="shared" si="155"/>
        <v>34.1194029850746</v>
      </c>
      <c r="O983" s="16">
        <f t="shared" si="156"/>
        <v>335508.061045069</v>
      </c>
      <c r="P983" s="16">
        <f t="shared" si="157"/>
        <v>958872.819375042</v>
      </c>
      <c r="Q983" s="16">
        <f t="shared" si="158"/>
        <v>2.72479848269322</v>
      </c>
      <c r="R983" s="16">
        <f t="shared" si="159"/>
        <v>0.349898395559633</v>
      </c>
      <c r="S983" s="16">
        <v>20</v>
      </c>
    </row>
    <row r="984" spans="1:19">
      <c r="A984" s="5">
        <v>15</v>
      </c>
      <c r="B984" s="5">
        <v>114.3</v>
      </c>
      <c r="C984" s="5">
        <v>3.35</v>
      </c>
      <c r="D984" s="5">
        <v>800</v>
      </c>
      <c r="E984" s="5">
        <v>287.33</v>
      </c>
      <c r="F984" s="5">
        <v>105.45</v>
      </c>
      <c r="G984" s="5" t="s">
        <v>20</v>
      </c>
      <c r="H984" s="5">
        <v>1375.8</v>
      </c>
      <c r="I984" s="14">
        <f t="shared" si="150"/>
        <v>10260.8264517243</v>
      </c>
      <c r="J984" s="15">
        <f t="shared" si="151"/>
        <v>1167.67501146789</v>
      </c>
      <c r="K984" s="15">
        <f t="shared" si="152"/>
        <v>9093.15144025644</v>
      </c>
      <c r="L984" s="15">
        <f t="shared" si="153"/>
        <v>0.113799314018381</v>
      </c>
      <c r="M984" s="15">
        <f t="shared" si="154"/>
        <v>0.128412577217009</v>
      </c>
      <c r="N984" s="16">
        <f t="shared" si="155"/>
        <v>34.1194029850746</v>
      </c>
      <c r="O984" s="16">
        <f t="shared" si="156"/>
        <v>335508.061045069</v>
      </c>
      <c r="P984" s="16">
        <f t="shared" si="157"/>
        <v>958872.819375042</v>
      </c>
      <c r="Q984" s="16">
        <f t="shared" si="158"/>
        <v>2.72479848269322</v>
      </c>
      <c r="R984" s="16">
        <f t="shared" si="159"/>
        <v>0.349898395559633</v>
      </c>
      <c r="S984" s="16">
        <v>27.9965004374453</v>
      </c>
    </row>
    <row r="985" spans="1:19">
      <c r="A985" s="5">
        <v>16</v>
      </c>
      <c r="B985" s="5">
        <v>114.3</v>
      </c>
      <c r="C985" s="5">
        <v>3.35</v>
      </c>
      <c r="D985" s="5">
        <v>1143</v>
      </c>
      <c r="E985" s="5">
        <v>287.33</v>
      </c>
      <c r="F985" s="5">
        <v>105.45</v>
      </c>
      <c r="G985" s="5" t="s">
        <v>20</v>
      </c>
      <c r="H985" s="5">
        <v>1319.9</v>
      </c>
      <c r="I985" s="14">
        <f t="shared" si="150"/>
        <v>10260.8264517243</v>
      </c>
      <c r="J985" s="15">
        <f t="shared" si="151"/>
        <v>1167.67501146789</v>
      </c>
      <c r="K985" s="15">
        <f t="shared" si="152"/>
        <v>9093.15144025644</v>
      </c>
      <c r="L985" s="15">
        <f t="shared" si="153"/>
        <v>0.113799314018381</v>
      </c>
      <c r="M985" s="15">
        <f t="shared" si="154"/>
        <v>0.128412577217009</v>
      </c>
      <c r="N985" s="16">
        <f t="shared" si="155"/>
        <v>34.1194029850746</v>
      </c>
      <c r="O985" s="16">
        <f t="shared" si="156"/>
        <v>335508.061045069</v>
      </c>
      <c r="P985" s="16">
        <f t="shared" si="157"/>
        <v>958872.819375042</v>
      </c>
      <c r="Q985" s="16">
        <f t="shared" si="158"/>
        <v>2.72479848269322</v>
      </c>
      <c r="R985" s="16">
        <f t="shared" si="159"/>
        <v>0.349898395559633</v>
      </c>
      <c r="S985" s="16">
        <v>40</v>
      </c>
    </row>
    <row r="986" spans="1:19">
      <c r="A986" s="5">
        <v>18</v>
      </c>
      <c r="B986" s="5">
        <v>114.3</v>
      </c>
      <c r="C986" s="5">
        <v>6</v>
      </c>
      <c r="D986" s="5">
        <v>571.5</v>
      </c>
      <c r="E986" s="5">
        <v>342.95</v>
      </c>
      <c r="F986" s="5">
        <v>32.68</v>
      </c>
      <c r="G986" s="5" t="s">
        <v>20</v>
      </c>
      <c r="H986" s="5">
        <v>1016.6</v>
      </c>
      <c r="I986" s="14">
        <f t="shared" si="150"/>
        <v>10260.8264517243</v>
      </c>
      <c r="J986" s="15">
        <f t="shared" si="151"/>
        <v>2041.40690630265</v>
      </c>
      <c r="K986" s="15">
        <f t="shared" si="152"/>
        <v>8219.41954542168</v>
      </c>
      <c r="L986" s="15">
        <f t="shared" si="153"/>
        <v>0.198951509014129</v>
      </c>
      <c r="M986" s="15">
        <f t="shared" si="154"/>
        <v>0.248363877159639</v>
      </c>
      <c r="N986" s="16">
        <f t="shared" si="155"/>
        <v>19.05</v>
      </c>
      <c r="O986" s="16">
        <f t="shared" si="156"/>
        <v>700100.498516493</v>
      </c>
      <c r="P986" s="16">
        <f t="shared" si="157"/>
        <v>268610.630744381</v>
      </c>
      <c r="Q986" s="16">
        <f t="shared" si="158"/>
        <v>10.4941860465116</v>
      </c>
      <c r="R986" s="16">
        <f t="shared" si="159"/>
        <v>2.60637673414621</v>
      </c>
      <c r="S986" s="16">
        <v>20</v>
      </c>
    </row>
    <row r="987" spans="1:19">
      <c r="A987" s="5">
        <v>19</v>
      </c>
      <c r="B987" s="5">
        <v>114.3</v>
      </c>
      <c r="C987" s="5">
        <v>6</v>
      </c>
      <c r="D987" s="5">
        <v>800</v>
      </c>
      <c r="E987" s="5">
        <v>342.95</v>
      </c>
      <c r="F987" s="5">
        <v>32.68</v>
      </c>
      <c r="G987" s="5" t="s">
        <v>20</v>
      </c>
      <c r="H987" s="5">
        <v>1057.1</v>
      </c>
      <c r="I987" s="14">
        <f t="shared" si="150"/>
        <v>10260.8264517243</v>
      </c>
      <c r="J987" s="15">
        <f t="shared" si="151"/>
        <v>2041.40690630265</v>
      </c>
      <c r="K987" s="15">
        <f t="shared" si="152"/>
        <v>8219.41954542168</v>
      </c>
      <c r="L987" s="15">
        <f t="shared" si="153"/>
        <v>0.198951509014129</v>
      </c>
      <c r="M987" s="15">
        <f t="shared" si="154"/>
        <v>0.248363877159639</v>
      </c>
      <c r="N987" s="16">
        <f t="shared" si="155"/>
        <v>19.05</v>
      </c>
      <c r="O987" s="16">
        <f t="shared" si="156"/>
        <v>700100.498516493</v>
      </c>
      <c r="P987" s="16">
        <f t="shared" si="157"/>
        <v>268610.630744381</v>
      </c>
      <c r="Q987" s="16">
        <f t="shared" si="158"/>
        <v>10.4941860465116</v>
      </c>
      <c r="R987" s="16">
        <f t="shared" si="159"/>
        <v>2.60637673414621</v>
      </c>
      <c r="S987" s="16">
        <v>27.9965004374453</v>
      </c>
    </row>
    <row r="988" spans="1:19">
      <c r="A988" s="5">
        <v>20</v>
      </c>
      <c r="B988" s="5">
        <v>114.3</v>
      </c>
      <c r="C988" s="5">
        <v>6</v>
      </c>
      <c r="D988" s="5">
        <v>1143</v>
      </c>
      <c r="E988" s="5">
        <v>342.95</v>
      </c>
      <c r="F988" s="5">
        <v>32.68</v>
      </c>
      <c r="G988" s="5" t="s">
        <v>20</v>
      </c>
      <c r="H988" s="5">
        <v>872.2</v>
      </c>
      <c r="I988" s="14">
        <f t="shared" si="150"/>
        <v>10260.8264517243</v>
      </c>
      <c r="J988" s="15">
        <f t="shared" si="151"/>
        <v>2041.40690630265</v>
      </c>
      <c r="K988" s="15">
        <f t="shared" si="152"/>
        <v>8219.41954542168</v>
      </c>
      <c r="L988" s="15">
        <f t="shared" si="153"/>
        <v>0.198951509014129</v>
      </c>
      <c r="M988" s="15">
        <f t="shared" si="154"/>
        <v>0.248363877159639</v>
      </c>
      <c r="N988" s="16">
        <f t="shared" si="155"/>
        <v>19.05</v>
      </c>
      <c r="O988" s="16">
        <f t="shared" si="156"/>
        <v>700100.498516493</v>
      </c>
      <c r="P988" s="16">
        <f t="shared" si="157"/>
        <v>268610.630744381</v>
      </c>
      <c r="Q988" s="16">
        <f t="shared" si="158"/>
        <v>10.4941860465116</v>
      </c>
      <c r="R988" s="16">
        <f t="shared" si="159"/>
        <v>2.60637673414621</v>
      </c>
      <c r="S988" s="16">
        <v>40</v>
      </c>
    </row>
    <row r="989" spans="1:19">
      <c r="A989" s="5">
        <v>22</v>
      </c>
      <c r="B989" s="5">
        <v>114.3</v>
      </c>
      <c r="C989" s="5">
        <v>6</v>
      </c>
      <c r="D989" s="5">
        <v>571.5</v>
      </c>
      <c r="E989" s="5">
        <v>342.95</v>
      </c>
      <c r="F989" s="5">
        <v>58.68</v>
      </c>
      <c r="G989" s="5" t="s">
        <v>20</v>
      </c>
      <c r="H989" s="5">
        <v>1263.2</v>
      </c>
      <c r="I989" s="14">
        <f t="shared" si="150"/>
        <v>10260.8264517243</v>
      </c>
      <c r="J989" s="15">
        <f t="shared" si="151"/>
        <v>2041.40690630265</v>
      </c>
      <c r="K989" s="15">
        <f t="shared" si="152"/>
        <v>8219.41954542168</v>
      </c>
      <c r="L989" s="15">
        <f t="shared" si="153"/>
        <v>0.198951509014129</v>
      </c>
      <c r="M989" s="15">
        <f t="shared" si="154"/>
        <v>0.248363877159639</v>
      </c>
      <c r="N989" s="16">
        <f t="shared" si="155"/>
        <v>19.05</v>
      </c>
      <c r="O989" s="16">
        <f t="shared" si="156"/>
        <v>700100.498516493</v>
      </c>
      <c r="P989" s="16">
        <f t="shared" si="157"/>
        <v>482315.538925344</v>
      </c>
      <c r="Q989" s="16">
        <f t="shared" si="158"/>
        <v>5.84441036128153</v>
      </c>
      <c r="R989" s="16">
        <f t="shared" si="159"/>
        <v>1.45154041703985</v>
      </c>
      <c r="S989" s="16">
        <v>20</v>
      </c>
    </row>
    <row r="990" spans="1:19">
      <c r="A990" s="5">
        <v>23</v>
      </c>
      <c r="B990" s="5">
        <v>114.3</v>
      </c>
      <c r="C990" s="5">
        <v>6</v>
      </c>
      <c r="D990" s="5">
        <v>800</v>
      </c>
      <c r="E990" s="5">
        <v>342.95</v>
      </c>
      <c r="F990" s="5">
        <v>58.68</v>
      </c>
      <c r="G990" s="5" t="s">
        <v>20</v>
      </c>
      <c r="H990" s="5">
        <v>1190</v>
      </c>
      <c r="I990" s="14">
        <f t="shared" si="150"/>
        <v>10260.8264517243</v>
      </c>
      <c r="J990" s="15">
        <f t="shared" si="151"/>
        <v>2041.40690630265</v>
      </c>
      <c r="K990" s="15">
        <f t="shared" si="152"/>
        <v>8219.41954542168</v>
      </c>
      <c r="L990" s="15">
        <f t="shared" si="153"/>
        <v>0.198951509014129</v>
      </c>
      <c r="M990" s="15">
        <f t="shared" si="154"/>
        <v>0.248363877159639</v>
      </c>
      <c r="N990" s="16">
        <f t="shared" si="155"/>
        <v>19.05</v>
      </c>
      <c r="O990" s="16">
        <f t="shared" si="156"/>
        <v>700100.498516493</v>
      </c>
      <c r="P990" s="16">
        <f t="shared" si="157"/>
        <v>482315.538925344</v>
      </c>
      <c r="Q990" s="16">
        <f t="shared" si="158"/>
        <v>5.84441036128153</v>
      </c>
      <c r="R990" s="16">
        <f t="shared" si="159"/>
        <v>1.45154041703985</v>
      </c>
      <c r="S990" s="16">
        <v>27.9965004374453</v>
      </c>
    </row>
    <row r="991" spans="1:19">
      <c r="A991" s="5">
        <v>24</v>
      </c>
      <c r="B991" s="5">
        <v>114.3</v>
      </c>
      <c r="C991" s="5">
        <v>6</v>
      </c>
      <c r="D991" s="5">
        <v>1143</v>
      </c>
      <c r="E991" s="5">
        <v>342.95</v>
      </c>
      <c r="F991" s="5">
        <v>58.68</v>
      </c>
      <c r="G991" s="5" t="s">
        <v>20</v>
      </c>
      <c r="H991" s="5">
        <v>1120.6</v>
      </c>
      <c r="I991" s="14">
        <f t="shared" si="150"/>
        <v>10260.8264517243</v>
      </c>
      <c r="J991" s="15">
        <f t="shared" si="151"/>
        <v>2041.40690630265</v>
      </c>
      <c r="K991" s="15">
        <f t="shared" si="152"/>
        <v>8219.41954542168</v>
      </c>
      <c r="L991" s="15">
        <f t="shared" si="153"/>
        <v>0.198951509014129</v>
      </c>
      <c r="M991" s="15">
        <f t="shared" si="154"/>
        <v>0.248363877159639</v>
      </c>
      <c r="N991" s="16">
        <f t="shared" si="155"/>
        <v>19.05</v>
      </c>
      <c r="O991" s="16">
        <f t="shared" si="156"/>
        <v>700100.498516493</v>
      </c>
      <c r="P991" s="16">
        <f t="shared" si="157"/>
        <v>482315.538925344</v>
      </c>
      <c r="Q991" s="16">
        <f t="shared" si="158"/>
        <v>5.84441036128153</v>
      </c>
      <c r="R991" s="16">
        <f t="shared" si="159"/>
        <v>1.45154041703985</v>
      </c>
      <c r="S991" s="16">
        <v>40</v>
      </c>
    </row>
    <row r="992" spans="1:19">
      <c r="A992" s="5">
        <v>26</v>
      </c>
      <c r="B992" s="5">
        <v>114.3</v>
      </c>
      <c r="C992" s="5">
        <v>6</v>
      </c>
      <c r="D992" s="5">
        <v>571.5</v>
      </c>
      <c r="E992" s="5">
        <v>342.95</v>
      </c>
      <c r="F992" s="5">
        <v>88.78</v>
      </c>
      <c r="G992" s="5" t="s">
        <v>20</v>
      </c>
      <c r="H992" s="5">
        <v>1448.1</v>
      </c>
      <c r="I992" s="14">
        <f t="shared" si="150"/>
        <v>10260.8264517243</v>
      </c>
      <c r="J992" s="15">
        <f t="shared" si="151"/>
        <v>2041.40690630265</v>
      </c>
      <c r="K992" s="15">
        <f t="shared" si="152"/>
        <v>8219.41954542168</v>
      </c>
      <c r="L992" s="15">
        <f t="shared" si="153"/>
        <v>0.198951509014129</v>
      </c>
      <c r="M992" s="15">
        <f t="shared" si="154"/>
        <v>0.248363877159639</v>
      </c>
      <c r="N992" s="16">
        <f t="shared" si="155"/>
        <v>19.05</v>
      </c>
      <c r="O992" s="16">
        <f t="shared" si="156"/>
        <v>700100.498516493</v>
      </c>
      <c r="P992" s="16">
        <f t="shared" si="157"/>
        <v>729720.067242537</v>
      </c>
      <c r="Q992" s="16">
        <f t="shared" si="158"/>
        <v>3.86291957648119</v>
      </c>
      <c r="R992" s="16">
        <f t="shared" si="159"/>
        <v>0.95940968317074</v>
      </c>
      <c r="S992" s="16">
        <v>20</v>
      </c>
    </row>
    <row r="993" spans="1:19">
      <c r="A993" s="5">
        <v>27</v>
      </c>
      <c r="B993" s="5">
        <v>114.3</v>
      </c>
      <c r="C993" s="5">
        <v>6</v>
      </c>
      <c r="D993" s="5">
        <v>800</v>
      </c>
      <c r="E993" s="5">
        <v>342.95</v>
      </c>
      <c r="F993" s="5">
        <v>88.78</v>
      </c>
      <c r="G993" s="5" t="s">
        <v>20</v>
      </c>
      <c r="H993" s="5">
        <v>1400.6</v>
      </c>
      <c r="I993" s="14">
        <f t="shared" si="150"/>
        <v>10260.8264517243</v>
      </c>
      <c r="J993" s="15">
        <f t="shared" si="151"/>
        <v>2041.40690630265</v>
      </c>
      <c r="K993" s="15">
        <f t="shared" si="152"/>
        <v>8219.41954542168</v>
      </c>
      <c r="L993" s="15">
        <f t="shared" si="153"/>
        <v>0.198951509014129</v>
      </c>
      <c r="M993" s="15">
        <f t="shared" si="154"/>
        <v>0.248363877159639</v>
      </c>
      <c r="N993" s="16">
        <f t="shared" si="155"/>
        <v>19.05</v>
      </c>
      <c r="O993" s="16">
        <f t="shared" si="156"/>
        <v>700100.498516493</v>
      </c>
      <c r="P993" s="16">
        <f t="shared" si="157"/>
        <v>729720.067242537</v>
      </c>
      <c r="Q993" s="16">
        <f t="shared" si="158"/>
        <v>3.86291957648119</v>
      </c>
      <c r="R993" s="16">
        <f t="shared" si="159"/>
        <v>0.95940968317074</v>
      </c>
      <c r="S993" s="16">
        <v>27.9965004374453</v>
      </c>
    </row>
    <row r="994" spans="1:19">
      <c r="A994" s="5">
        <v>28</v>
      </c>
      <c r="B994" s="5">
        <v>114.3</v>
      </c>
      <c r="C994" s="5">
        <v>6</v>
      </c>
      <c r="D994" s="5">
        <v>1143</v>
      </c>
      <c r="E994" s="5">
        <v>342.95</v>
      </c>
      <c r="F994" s="5">
        <v>88.78</v>
      </c>
      <c r="G994" s="5" t="s">
        <v>20</v>
      </c>
      <c r="H994" s="5">
        <v>1442.4</v>
      </c>
      <c r="I994" s="14">
        <f t="shared" si="150"/>
        <v>10260.8264517243</v>
      </c>
      <c r="J994" s="15">
        <f t="shared" si="151"/>
        <v>2041.40690630265</v>
      </c>
      <c r="K994" s="15">
        <f t="shared" si="152"/>
        <v>8219.41954542168</v>
      </c>
      <c r="L994" s="15">
        <f t="shared" si="153"/>
        <v>0.198951509014129</v>
      </c>
      <c r="M994" s="15">
        <f t="shared" si="154"/>
        <v>0.248363877159639</v>
      </c>
      <c r="N994" s="16">
        <f t="shared" si="155"/>
        <v>19.05</v>
      </c>
      <c r="O994" s="16">
        <f t="shared" si="156"/>
        <v>700100.498516493</v>
      </c>
      <c r="P994" s="16">
        <f t="shared" si="157"/>
        <v>729720.067242537</v>
      </c>
      <c r="Q994" s="16">
        <f t="shared" si="158"/>
        <v>3.86291957648119</v>
      </c>
      <c r="R994" s="16">
        <f t="shared" si="159"/>
        <v>0.95940968317074</v>
      </c>
      <c r="S994" s="16">
        <v>40</v>
      </c>
    </row>
    <row r="995" spans="1:19">
      <c r="A995" s="5">
        <v>30</v>
      </c>
      <c r="B995" s="5">
        <v>114.3</v>
      </c>
      <c r="C995" s="5">
        <v>6</v>
      </c>
      <c r="D995" s="5">
        <v>571.5</v>
      </c>
      <c r="E995" s="5">
        <v>342.95</v>
      </c>
      <c r="F995" s="5">
        <v>105.45</v>
      </c>
      <c r="G995" s="5" t="s">
        <v>20</v>
      </c>
      <c r="H995" s="5">
        <v>1607.4</v>
      </c>
      <c r="I995" s="14">
        <f t="shared" si="150"/>
        <v>10260.8264517243</v>
      </c>
      <c r="J995" s="15">
        <f t="shared" si="151"/>
        <v>2041.40690630265</v>
      </c>
      <c r="K995" s="15">
        <f t="shared" si="152"/>
        <v>8219.41954542168</v>
      </c>
      <c r="L995" s="15">
        <f t="shared" si="153"/>
        <v>0.198951509014129</v>
      </c>
      <c r="M995" s="15">
        <f t="shared" si="154"/>
        <v>0.248363877159639</v>
      </c>
      <c r="N995" s="16">
        <f t="shared" si="155"/>
        <v>19.05</v>
      </c>
      <c r="O995" s="16">
        <f t="shared" si="156"/>
        <v>700100.498516493</v>
      </c>
      <c r="P995" s="16">
        <f t="shared" si="157"/>
        <v>866737.791064716</v>
      </c>
      <c r="Q995" s="16">
        <f t="shared" si="158"/>
        <v>3.25225225225225</v>
      </c>
      <c r="R995" s="16">
        <f t="shared" si="159"/>
        <v>0.807741978870538</v>
      </c>
      <c r="S995" s="16">
        <v>20</v>
      </c>
    </row>
    <row r="996" spans="1:19">
      <c r="A996" s="5">
        <v>31</v>
      </c>
      <c r="B996" s="5">
        <v>114.3</v>
      </c>
      <c r="C996" s="5">
        <v>6</v>
      </c>
      <c r="D996" s="5">
        <v>800</v>
      </c>
      <c r="E996" s="5">
        <v>342.95</v>
      </c>
      <c r="F996" s="5">
        <v>105.45</v>
      </c>
      <c r="G996" s="5" t="s">
        <v>20</v>
      </c>
      <c r="H996" s="5">
        <v>1622.5</v>
      </c>
      <c r="I996" s="14">
        <f t="shared" si="150"/>
        <v>10260.8264517243</v>
      </c>
      <c r="J996" s="15">
        <f t="shared" si="151"/>
        <v>2041.40690630265</v>
      </c>
      <c r="K996" s="15">
        <f t="shared" si="152"/>
        <v>8219.41954542168</v>
      </c>
      <c r="L996" s="15">
        <f t="shared" si="153"/>
        <v>0.198951509014129</v>
      </c>
      <c r="M996" s="15">
        <f t="shared" si="154"/>
        <v>0.248363877159639</v>
      </c>
      <c r="N996" s="16">
        <f t="shared" si="155"/>
        <v>19.05</v>
      </c>
      <c r="O996" s="16">
        <f t="shared" si="156"/>
        <v>700100.498516493</v>
      </c>
      <c r="P996" s="16">
        <f t="shared" si="157"/>
        <v>866737.791064716</v>
      </c>
      <c r="Q996" s="16">
        <f t="shared" si="158"/>
        <v>3.25225225225225</v>
      </c>
      <c r="R996" s="16">
        <f t="shared" si="159"/>
        <v>0.807741978870538</v>
      </c>
      <c r="S996" s="16">
        <v>27.9965004374453</v>
      </c>
    </row>
    <row r="997" spans="1:19">
      <c r="A997" s="5">
        <v>32</v>
      </c>
      <c r="B997" s="5">
        <v>114.3</v>
      </c>
      <c r="C997" s="5">
        <v>6</v>
      </c>
      <c r="D997" s="5">
        <v>1143</v>
      </c>
      <c r="E997" s="5">
        <v>342.95</v>
      </c>
      <c r="F997" s="5">
        <v>105.45</v>
      </c>
      <c r="G997" s="5" t="s">
        <v>20</v>
      </c>
      <c r="H997" s="5">
        <v>1574.3</v>
      </c>
      <c r="I997" s="14">
        <f t="shared" si="150"/>
        <v>10260.8264517243</v>
      </c>
      <c r="J997" s="15">
        <f t="shared" si="151"/>
        <v>2041.40690630265</v>
      </c>
      <c r="K997" s="15">
        <f t="shared" si="152"/>
        <v>8219.41954542168</v>
      </c>
      <c r="L997" s="15">
        <f t="shared" si="153"/>
        <v>0.198951509014129</v>
      </c>
      <c r="M997" s="15">
        <f t="shared" si="154"/>
        <v>0.248363877159639</v>
      </c>
      <c r="N997" s="16">
        <f t="shared" si="155"/>
        <v>19.05</v>
      </c>
      <c r="O997" s="16">
        <f t="shared" si="156"/>
        <v>700100.498516493</v>
      </c>
      <c r="P997" s="16">
        <f t="shared" si="157"/>
        <v>866737.791064716</v>
      </c>
      <c r="Q997" s="16">
        <f t="shared" si="158"/>
        <v>3.25225225225225</v>
      </c>
      <c r="R997" s="16">
        <f t="shared" si="159"/>
        <v>0.807741978870538</v>
      </c>
      <c r="S997" s="16">
        <v>40</v>
      </c>
    </row>
    <row r="998" spans="1:19">
      <c r="A998" s="5">
        <v>34</v>
      </c>
      <c r="B998" s="5">
        <v>114.3</v>
      </c>
      <c r="C998" s="5">
        <v>6</v>
      </c>
      <c r="D998" s="5">
        <v>571.5</v>
      </c>
      <c r="E998" s="5">
        <v>342.95</v>
      </c>
      <c r="F998" s="5">
        <v>73.3</v>
      </c>
      <c r="G998" s="5" t="s">
        <v>20</v>
      </c>
      <c r="H998" s="5">
        <v>1308.5</v>
      </c>
      <c r="I998" s="14">
        <f t="shared" si="150"/>
        <v>10260.8264517243</v>
      </c>
      <c r="J998" s="15">
        <f t="shared" si="151"/>
        <v>2041.40690630265</v>
      </c>
      <c r="K998" s="15">
        <f t="shared" si="152"/>
        <v>8219.41954542168</v>
      </c>
      <c r="L998" s="15">
        <f t="shared" si="153"/>
        <v>0.198951509014129</v>
      </c>
      <c r="M998" s="15">
        <f t="shared" si="154"/>
        <v>0.248363877159639</v>
      </c>
      <c r="N998" s="16">
        <f t="shared" si="155"/>
        <v>19.05</v>
      </c>
      <c r="O998" s="16">
        <f t="shared" si="156"/>
        <v>700100.498516493</v>
      </c>
      <c r="P998" s="16">
        <f t="shared" si="157"/>
        <v>602483.452679409</v>
      </c>
      <c r="Q998" s="16">
        <f t="shared" si="158"/>
        <v>4.67871759890859</v>
      </c>
      <c r="R998" s="16">
        <f t="shared" si="159"/>
        <v>1.16202444299998</v>
      </c>
      <c r="S998" s="16">
        <v>20</v>
      </c>
    </row>
    <row r="999" spans="1:19">
      <c r="A999" s="5">
        <v>35</v>
      </c>
      <c r="B999" s="5">
        <v>114.3</v>
      </c>
      <c r="C999" s="5">
        <v>6</v>
      </c>
      <c r="D999" s="5">
        <v>800</v>
      </c>
      <c r="E999" s="5">
        <v>342.95</v>
      </c>
      <c r="F999" s="5">
        <v>22.5</v>
      </c>
      <c r="G999" s="5" t="s">
        <v>20</v>
      </c>
      <c r="H999" s="5">
        <v>925.9</v>
      </c>
      <c r="I999" s="14">
        <f t="shared" si="150"/>
        <v>10260.8264517243</v>
      </c>
      <c r="J999" s="15">
        <f t="shared" si="151"/>
        <v>2041.40690630265</v>
      </c>
      <c r="K999" s="15">
        <f t="shared" si="152"/>
        <v>8219.41954542168</v>
      </c>
      <c r="L999" s="15">
        <f t="shared" si="153"/>
        <v>0.198951509014129</v>
      </c>
      <c r="M999" s="15">
        <f t="shared" si="154"/>
        <v>0.248363877159639</v>
      </c>
      <c r="N999" s="16">
        <f t="shared" si="155"/>
        <v>19.05</v>
      </c>
      <c r="O999" s="16">
        <f t="shared" si="156"/>
        <v>700100.498516493</v>
      </c>
      <c r="P999" s="16">
        <f t="shared" si="157"/>
        <v>184936.939771988</v>
      </c>
      <c r="Q999" s="16">
        <f t="shared" si="158"/>
        <v>15.2422222222222</v>
      </c>
      <c r="R999" s="16">
        <f t="shared" si="159"/>
        <v>3.78561740763992</v>
      </c>
      <c r="S999" s="16">
        <v>27.9965004374453</v>
      </c>
    </row>
    <row r="1000" spans="1:19">
      <c r="A1000" s="5">
        <v>36</v>
      </c>
      <c r="B1000" s="5">
        <v>114.3</v>
      </c>
      <c r="C1000" s="5">
        <v>6</v>
      </c>
      <c r="D1000" s="5">
        <v>1143</v>
      </c>
      <c r="E1000" s="5">
        <v>342.95</v>
      </c>
      <c r="F1000" s="5">
        <v>58.2</v>
      </c>
      <c r="G1000" s="5" t="s">
        <v>20</v>
      </c>
      <c r="H1000" s="5">
        <v>1126.9</v>
      </c>
      <c r="I1000" s="14">
        <f t="shared" si="150"/>
        <v>10260.8264517243</v>
      </c>
      <c r="J1000" s="15">
        <f t="shared" si="151"/>
        <v>2041.40690630265</v>
      </c>
      <c r="K1000" s="15">
        <f t="shared" si="152"/>
        <v>8219.41954542168</v>
      </c>
      <c r="L1000" s="15">
        <f t="shared" si="153"/>
        <v>0.198951509014129</v>
      </c>
      <c r="M1000" s="15">
        <f t="shared" si="154"/>
        <v>0.248363877159639</v>
      </c>
      <c r="N1000" s="16">
        <f t="shared" si="155"/>
        <v>19.05</v>
      </c>
      <c r="O1000" s="16">
        <f t="shared" si="156"/>
        <v>700100.498516493</v>
      </c>
      <c r="P1000" s="16">
        <f t="shared" si="157"/>
        <v>478370.217543542</v>
      </c>
      <c r="Q1000" s="16">
        <f t="shared" si="158"/>
        <v>5.8926116838488</v>
      </c>
      <c r="R1000" s="16">
        <f t="shared" si="159"/>
        <v>1.46351188439688</v>
      </c>
      <c r="S1000" s="16">
        <v>40</v>
      </c>
    </row>
    <row r="1001" spans="1:19">
      <c r="A1001" s="5">
        <v>1</v>
      </c>
      <c r="B1001" s="5">
        <v>160.1</v>
      </c>
      <c r="C1001" s="5">
        <v>4.98</v>
      </c>
      <c r="D1001" s="5">
        <v>2000</v>
      </c>
      <c r="E1001" s="5">
        <v>280</v>
      </c>
      <c r="F1001" s="5">
        <v>40</v>
      </c>
      <c r="G1001" s="5" t="s">
        <v>20</v>
      </c>
      <c r="H1001" s="5">
        <v>1261</v>
      </c>
      <c r="I1001" s="14">
        <f t="shared" si="150"/>
        <v>20131.333578185</v>
      </c>
      <c r="J1001" s="15">
        <f t="shared" si="151"/>
        <v>2426.87278507575</v>
      </c>
      <c r="K1001" s="15">
        <f t="shared" si="152"/>
        <v>17704.4607931093</v>
      </c>
      <c r="L1001" s="15">
        <f t="shared" si="153"/>
        <v>0.120552012893254</v>
      </c>
      <c r="M1001" s="15">
        <f t="shared" si="154"/>
        <v>0.137076910358112</v>
      </c>
      <c r="N1001" s="16">
        <f t="shared" si="155"/>
        <v>32.14859437751</v>
      </c>
      <c r="O1001" s="16">
        <f t="shared" si="156"/>
        <v>679524.37982121</v>
      </c>
      <c r="P1001" s="16">
        <f t="shared" si="157"/>
        <v>708178.431724371</v>
      </c>
      <c r="Q1001" s="16">
        <f t="shared" si="158"/>
        <v>7</v>
      </c>
      <c r="R1001" s="16">
        <f t="shared" si="159"/>
        <v>0.959538372506784</v>
      </c>
      <c r="S1001" s="16">
        <v>49.9687695190506</v>
      </c>
    </row>
    <row r="1002" spans="1:19">
      <c r="A1002" s="5">
        <v>2</v>
      </c>
      <c r="B1002" s="5">
        <v>160.2</v>
      </c>
      <c r="C1002" s="5">
        <v>4.96</v>
      </c>
      <c r="D1002" s="5">
        <v>2500</v>
      </c>
      <c r="E1002" s="5">
        <v>281</v>
      </c>
      <c r="F1002" s="5">
        <v>41</v>
      </c>
      <c r="G1002" s="5" t="s">
        <v>20</v>
      </c>
      <c r="H1002" s="5">
        <v>1244</v>
      </c>
      <c r="I1002" s="14">
        <f t="shared" si="150"/>
        <v>20156.4898813586</v>
      </c>
      <c r="J1002" s="15">
        <f t="shared" si="151"/>
        <v>2418.99618397466</v>
      </c>
      <c r="K1002" s="15">
        <f t="shared" si="152"/>
        <v>17737.493697384</v>
      </c>
      <c r="L1002" s="15">
        <f t="shared" si="153"/>
        <v>0.120010785519349</v>
      </c>
      <c r="M1002" s="15">
        <f t="shared" si="154"/>
        <v>0.136377564116143</v>
      </c>
      <c r="N1002" s="16">
        <f t="shared" si="155"/>
        <v>32.2983870967742</v>
      </c>
      <c r="O1002" s="16">
        <f t="shared" si="156"/>
        <v>679737.92769688</v>
      </c>
      <c r="P1002" s="16">
        <f t="shared" si="157"/>
        <v>727237.241592743</v>
      </c>
      <c r="Q1002" s="16">
        <f t="shared" si="158"/>
        <v>6.85365853658537</v>
      </c>
      <c r="R1002" s="16">
        <f t="shared" si="159"/>
        <v>0.93468525650332</v>
      </c>
      <c r="S1002" s="16">
        <v>62.4219725343321</v>
      </c>
    </row>
    <row r="1003" spans="1:19">
      <c r="A1003" s="5">
        <v>3</v>
      </c>
      <c r="B1003" s="5">
        <v>160.3</v>
      </c>
      <c r="C1003" s="5">
        <v>5</v>
      </c>
      <c r="D1003" s="5">
        <v>3000</v>
      </c>
      <c r="E1003" s="5">
        <v>270</v>
      </c>
      <c r="F1003" s="5">
        <v>43</v>
      </c>
      <c r="G1003" s="5" t="s">
        <v>20</v>
      </c>
      <c r="H1003" s="5">
        <v>1236</v>
      </c>
      <c r="I1003" s="14">
        <f t="shared" si="150"/>
        <v>20181.6618924955</v>
      </c>
      <c r="J1003" s="15">
        <f t="shared" si="151"/>
        <v>2439.44669551247</v>
      </c>
      <c r="K1003" s="15">
        <f t="shared" si="152"/>
        <v>17742.2151969831</v>
      </c>
      <c r="L1003" s="15">
        <f t="shared" si="153"/>
        <v>0.120874420972218</v>
      </c>
      <c r="M1003" s="15">
        <f t="shared" si="154"/>
        <v>0.137493918793595</v>
      </c>
      <c r="N1003" s="16">
        <f t="shared" si="155"/>
        <v>32.06</v>
      </c>
      <c r="O1003" s="16">
        <f t="shared" si="156"/>
        <v>658650.607788368</v>
      </c>
      <c r="P1003" s="16">
        <f t="shared" si="157"/>
        <v>762915.253470272</v>
      </c>
      <c r="Q1003" s="16">
        <f t="shared" si="158"/>
        <v>6.27906976744186</v>
      </c>
      <c r="R1003" s="16">
        <f t="shared" si="159"/>
        <v>0.863333908703968</v>
      </c>
      <c r="S1003" s="16">
        <v>74.8596381784155</v>
      </c>
    </row>
    <row r="1004" spans="1:19">
      <c r="A1004" s="5">
        <v>4</v>
      </c>
      <c r="B1004" s="5">
        <v>160.2</v>
      </c>
      <c r="C1004" s="5">
        <v>4.97</v>
      </c>
      <c r="D1004" s="5">
        <v>3500</v>
      </c>
      <c r="E1004" s="5">
        <v>273</v>
      </c>
      <c r="F1004" s="5">
        <v>41</v>
      </c>
      <c r="G1004" s="5" t="s">
        <v>20</v>
      </c>
      <c r="H1004" s="5">
        <v>1193</v>
      </c>
      <c r="I1004" s="14">
        <f t="shared" si="150"/>
        <v>20156.4898813586</v>
      </c>
      <c r="J1004" s="15">
        <f t="shared" si="151"/>
        <v>2423.71705525521</v>
      </c>
      <c r="K1004" s="15">
        <f t="shared" si="152"/>
        <v>17732.7728261034</v>
      </c>
      <c r="L1004" s="15">
        <f t="shared" si="153"/>
        <v>0.120244996500941</v>
      </c>
      <c r="M1004" s="15">
        <f t="shared" si="154"/>
        <v>0.136680093915566</v>
      </c>
      <c r="N1004" s="16">
        <f t="shared" si="155"/>
        <v>32.2334004024145</v>
      </c>
      <c r="O1004" s="16">
        <f t="shared" si="156"/>
        <v>661674.756084674</v>
      </c>
      <c r="P1004" s="16">
        <f t="shared" si="157"/>
        <v>727043.685870241</v>
      </c>
      <c r="Q1004" s="16">
        <f t="shared" si="158"/>
        <v>6.65853658536585</v>
      </c>
      <c r="R1004" s="16">
        <f t="shared" si="159"/>
        <v>0.910089405828037</v>
      </c>
      <c r="S1004" s="16">
        <v>87.3907615480649</v>
      </c>
    </row>
    <row r="1005" spans="1:19">
      <c r="A1005" s="5">
        <v>5</v>
      </c>
      <c r="B1005" s="5">
        <v>159.9</v>
      </c>
      <c r="C1005" s="5">
        <v>4.98</v>
      </c>
      <c r="D1005" s="5">
        <v>4000</v>
      </c>
      <c r="E1005" s="5">
        <v>281</v>
      </c>
      <c r="F1005" s="5">
        <v>45</v>
      </c>
      <c r="G1005" s="5" t="s">
        <v>20</v>
      </c>
      <c r="H1005" s="5">
        <v>1091</v>
      </c>
      <c r="I1005" s="14">
        <f t="shared" si="150"/>
        <v>20081.0680957276</v>
      </c>
      <c r="J1005" s="15">
        <f t="shared" si="151"/>
        <v>2423.74375879277</v>
      </c>
      <c r="K1005" s="15">
        <f t="shared" si="152"/>
        <v>17657.3243369348</v>
      </c>
      <c r="L1005" s="15">
        <f t="shared" si="153"/>
        <v>0.120697950290226</v>
      </c>
      <c r="M1005" s="15">
        <f t="shared" si="154"/>
        <v>0.137265630541933</v>
      </c>
      <c r="N1005" s="16">
        <f t="shared" si="155"/>
        <v>32.1084337349398</v>
      </c>
      <c r="O1005" s="16">
        <f t="shared" si="156"/>
        <v>681071.996220769</v>
      </c>
      <c r="P1005" s="16">
        <f t="shared" si="157"/>
        <v>794579.595162067</v>
      </c>
      <c r="Q1005" s="16">
        <f t="shared" si="158"/>
        <v>6.24444444444444</v>
      </c>
      <c r="R1005" s="16">
        <f t="shared" si="159"/>
        <v>0.857147604050736</v>
      </c>
      <c r="S1005" s="16">
        <v>100.062539086929</v>
      </c>
    </row>
    <row r="1006" spans="1:19">
      <c r="A1006" s="5">
        <v>6</v>
      </c>
      <c r="B1006" s="5">
        <v>159.8</v>
      </c>
      <c r="C1006" s="5">
        <v>5.01</v>
      </c>
      <c r="D1006" s="5">
        <v>2000</v>
      </c>
      <c r="E1006" s="5">
        <v>283</v>
      </c>
      <c r="F1006" s="5">
        <v>70</v>
      </c>
      <c r="G1006" s="5" t="s">
        <v>20</v>
      </c>
      <c r="H1006" s="5">
        <v>1650</v>
      </c>
      <c r="I1006" s="14">
        <f t="shared" si="150"/>
        <v>20055.9589164438</v>
      </c>
      <c r="J1006" s="15">
        <f t="shared" si="151"/>
        <v>2436.29850551432</v>
      </c>
      <c r="K1006" s="15">
        <f t="shared" si="152"/>
        <v>17619.6604109295</v>
      </c>
      <c r="L1006" s="15">
        <f t="shared" si="153"/>
        <v>0.121475044681948</v>
      </c>
      <c r="M1006" s="15">
        <f t="shared" si="154"/>
        <v>0.138271592567305</v>
      </c>
      <c r="N1006" s="16">
        <f t="shared" si="155"/>
        <v>31.8962075848303</v>
      </c>
      <c r="O1006" s="16">
        <f t="shared" si="156"/>
        <v>689472.477060551</v>
      </c>
      <c r="P1006" s="16">
        <f t="shared" si="157"/>
        <v>1233376.22876506</v>
      </c>
      <c r="Q1006" s="16">
        <f t="shared" si="158"/>
        <v>4.04285714285714</v>
      </c>
      <c r="R1006" s="16">
        <f t="shared" si="159"/>
        <v>0.559012295664962</v>
      </c>
      <c r="S1006" s="16">
        <v>50.0625782227785</v>
      </c>
    </row>
    <row r="1007" spans="1:19">
      <c r="A1007" s="5">
        <v>7</v>
      </c>
      <c r="B1007" s="5">
        <v>159.7</v>
      </c>
      <c r="C1007" s="5">
        <v>5.2</v>
      </c>
      <c r="D1007" s="5">
        <v>2500</v>
      </c>
      <c r="E1007" s="5">
        <v>281</v>
      </c>
      <c r="F1007" s="5">
        <v>71</v>
      </c>
      <c r="G1007" s="5" t="s">
        <v>20</v>
      </c>
      <c r="H1007" s="5">
        <v>1562</v>
      </c>
      <c r="I1007" s="14">
        <f t="shared" si="150"/>
        <v>20030.8654451232</v>
      </c>
      <c r="J1007" s="15">
        <f t="shared" si="151"/>
        <v>2523.95553789404</v>
      </c>
      <c r="K1007" s="15">
        <f t="shared" si="152"/>
        <v>17506.9099072292</v>
      </c>
      <c r="L1007" s="15">
        <f t="shared" si="153"/>
        <v>0.126003319467584</v>
      </c>
      <c r="M1007" s="15">
        <f t="shared" si="154"/>
        <v>0.144169105300063</v>
      </c>
      <c r="N1007" s="16">
        <f t="shared" si="155"/>
        <v>30.7115384615385</v>
      </c>
      <c r="O1007" s="16">
        <f t="shared" si="156"/>
        <v>709231.506148226</v>
      </c>
      <c r="P1007" s="16">
        <f t="shared" si="157"/>
        <v>1242990.60341327</v>
      </c>
      <c r="Q1007" s="16">
        <f t="shared" si="158"/>
        <v>3.95774647887324</v>
      </c>
      <c r="R1007" s="16">
        <f t="shared" si="159"/>
        <v>0.57058476886363</v>
      </c>
      <c r="S1007" s="16">
        <v>62.6174076393237</v>
      </c>
    </row>
    <row r="1008" spans="1:19">
      <c r="A1008" s="5">
        <v>8</v>
      </c>
      <c r="B1008" s="5">
        <v>159.8</v>
      </c>
      <c r="C1008" s="5">
        <v>5.1</v>
      </c>
      <c r="D1008" s="5">
        <v>3000</v>
      </c>
      <c r="E1008" s="5">
        <v>276</v>
      </c>
      <c r="F1008" s="5">
        <v>73</v>
      </c>
      <c r="G1008" s="5" t="s">
        <v>20</v>
      </c>
      <c r="H1008" s="5">
        <v>1468</v>
      </c>
      <c r="I1008" s="14">
        <f t="shared" si="150"/>
        <v>20055.9589164438</v>
      </c>
      <c r="J1008" s="15">
        <f t="shared" si="151"/>
        <v>2478.62235590274</v>
      </c>
      <c r="K1008" s="15">
        <f t="shared" si="152"/>
        <v>17577.336560541</v>
      </c>
      <c r="L1008" s="15">
        <f t="shared" si="153"/>
        <v>0.123585332729742</v>
      </c>
      <c r="M1008" s="15">
        <f t="shared" si="154"/>
        <v>0.141012396694215</v>
      </c>
      <c r="N1008" s="16">
        <f t="shared" si="155"/>
        <v>31.3333333333333</v>
      </c>
      <c r="O1008" s="16">
        <f t="shared" si="156"/>
        <v>684099.770229155</v>
      </c>
      <c r="P1008" s="16">
        <f t="shared" si="157"/>
        <v>1283145.5689195</v>
      </c>
      <c r="Q1008" s="16">
        <f t="shared" si="158"/>
        <v>3.78082191780822</v>
      </c>
      <c r="R1008" s="16">
        <f t="shared" si="159"/>
        <v>0.533142760104154</v>
      </c>
      <c r="S1008" s="16">
        <v>75.0938673341677</v>
      </c>
    </row>
    <row r="1009" spans="1:19">
      <c r="A1009" s="5">
        <v>9</v>
      </c>
      <c r="B1009" s="5">
        <v>160.1</v>
      </c>
      <c r="C1009" s="5">
        <v>4.98</v>
      </c>
      <c r="D1009" s="5">
        <v>3500</v>
      </c>
      <c r="E1009" s="5">
        <v>276</v>
      </c>
      <c r="F1009" s="5">
        <v>74</v>
      </c>
      <c r="G1009" s="5" t="s">
        <v>20</v>
      </c>
      <c r="H1009" s="5">
        <v>1326</v>
      </c>
      <c r="I1009" s="14">
        <f t="shared" si="150"/>
        <v>20131.333578185</v>
      </c>
      <c r="J1009" s="15">
        <f t="shared" si="151"/>
        <v>2426.87278507575</v>
      </c>
      <c r="K1009" s="15">
        <f t="shared" si="152"/>
        <v>17704.4607931093</v>
      </c>
      <c r="L1009" s="15">
        <f t="shared" si="153"/>
        <v>0.120552012893254</v>
      </c>
      <c r="M1009" s="15">
        <f t="shared" si="154"/>
        <v>0.137076910358112</v>
      </c>
      <c r="N1009" s="16">
        <f t="shared" si="155"/>
        <v>32.14859437751</v>
      </c>
      <c r="O1009" s="16">
        <f t="shared" si="156"/>
        <v>669816.888680907</v>
      </c>
      <c r="P1009" s="16">
        <f t="shared" si="157"/>
        <v>1310130.09869009</v>
      </c>
      <c r="Q1009" s="16">
        <f t="shared" si="158"/>
        <v>3.72972972972973</v>
      </c>
      <c r="R1009" s="16">
        <f t="shared" si="159"/>
        <v>0.511259827822147</v>
      </c>
      <c r="S1009" s="16">
        <v>87.4453466583385</v>
      </c>
    </row>
    <row r="1010" spans="1:19">
      <c r="A1010" s="5">
        <v>10</v>
      </c>
      <c r="B1010" s="5">
        <v>160.2</v>
      </c>
      <c r="C1010" s="5">
        <v>5.02</v>
      </c>
      <c r="D1010" s="5">
        <v>4000</v>
      </c>
      <c r="E1010" s="5">
        <v>281</v>
      </c>
      <c r="F1010" s="5">
        <v>71</v>
      </c>
      <c r="G1010" s="5" t="s">
        <v>20</v>
      </c>
      <c r="H1010" s="5">
        <v>1231</v>
      </c>
      <c r="I1010" s="14">
        <f t="shared" si="150"/>
        <v>20156.4898813586</v>
      </c>
      <c r="J1010" s="15">
        <f t="shared" si="151"/>
        <v>2447.31198688</v>
      </c>
      <c r="K1010" s="15">
        <f t="shared" si="152"/>
        <v>17709.1778944786</v>
      </c>
      <c r="L1010" s="15">
        <f t="shared" si="153"/>
        <v>0.121415583828579</v>
      </c>
      <c r="M1010" s="15">
        <f t="shared" si="154"/>
        <v>0.138194556600113</v>
      </c>
      <c r="N1010" s="16">
        <f t="shared" si="155"/>
        <v>31.9123505976096</v>
      </c>
      <c r="O1010" s="16">
        <f t="shared" si="156"/>
        <v>687694.66831328</v>
      </c>
      <c r="P1010" s="16">
        <f t="shared" si="157"/>
        <v>1257351.63050798</v>
      </c>
      <c r="Q1010" s="16">
        <f t="shared" si="158"/>
        <v>3.95774647887324</v>
      </c>
      <c r="R1010" s="16">
        <f t="shared" si="159"/>
        <v>0.546939019783546</v>
      </c>
      <c r="S1010" s="16">
        <v>99.8751560549313</v>
      </c>
    </row>
    <row r="1011" spans="1:19">
      <c r="A1011" s="5">
        <v>11</v>
      </c>
      <c r="B1011" s="5">
        <v>160.3</v>
      </c>
      <c r="C1011" s="5">
        <v>5.03</v>
      </c>
      <c r="D1011" s="5">
        <v>2000</v>
      </c>
      <c r="E1011" s="5">
        <v>281</v>
      </c>
      <c r="F1011" s="5">
        <v>99</v>
      </c>
      <c r="G1011" s="5" t="s">
        <v>20</v>
      </c>
      <c r="H1011" s="5">
        <v>2000</v>
      </c>
      <c r="I1011" s="14">
        <f t="shared" si="150"/>
        <v>20181.6618924955</v>
      </c>
      <c r="J1011" s="15">
        <f t="shared" si="151"/>
        <v>2453.60930935412</v>
      </c>
      <c r="K1011" s="15">
        <f t="shared" si="152"/>
        <v>17728.0525831414</v>
      </c>
      <c r="L1011" s="15">
        <f t="shared" si="153"/>
        <v>0.121576177542965</v>
      </c>
      <c r="M1011" s="15">
        <f t="shared" si="154"/>
        <v>0.138402641680305</v>
      </c>
      <c r="N1011" s="16">
        <f t="shared" si="155"/>
        <v>31.8687872763419</v>
      </c>
      <c r="O1011" s="16">
        <f t="shared" si="156"/>
        <v>689464.215928508</v>
      </c>
      <c r="P1011" s="16">
        <f t="shared" si="157"/>
        <v>1755077.205731</v>
      </c>
      <c r="Q1011" s="16">
        <f t="shared" si="158"/>
        <v>2.83838383838384</v>
      </c>
      <c r="R1011" s="16">
        <f t="shared" si="159"/>
        <v>0.392839821335006</v>
      </c>
      <c r="S1011" s="16">
        <v>49.906425452277</v>
      </c>
    </row>
    <row r="1012" spans="1:19">
      <c r="A1012" s="5">
        <v>12</v>
      </c>
      <c r="B1012" s="5">
        <v>159.8</v>
      </c>
      <c r="C1012" s="5">
        <v>5.01</v>
      </c>
      <c r="D1012" s="5">
        <v>2500</v>
      </c>
      <c r="E1012" s="5">
        <v>275</v>
      </c>
      <c r="F1012" s="5">
        <v>100</v>
      </c>
      <c r="G1012" s="5" t="s">
        <v>20</v>
      </c>
      <c r="H1012" s="5">
        <v>1818</v>
      </c>
      <c r="I1012" s="14">
        <f t="shared" si="150"/>
        <v>20055.9589164438</v>
      </c>
      <c r="J1012" s="15">
        <f t="shared" si="151"/>
        <v>2436.29850551432</v>
      </c>
      <c r="K1012" s="15">
        <f t="shared" si="152"/>
        <v>17619.6604109295</v>
      </c>
      <c r="L1012" s="15">
        <f t="shared" si="153"/>
        <v>0.121475044681948</v>
      </c>
      <c r="M1012" s="15">
        <f t="shared" si="154"/>
        <v>0.138271592567305</v>
      </c>
      <c r="N1012" s="16">
        <f t="shared" si="155"/>
        <v>31.8962075848303</v>
      </c>
      <c r="O1012" s="16">
        <f t="shared" si="156"/>
        <v>669982.089016437</v>
      </c>
      <c r="P1012" s="16">
        <f t="shared" si="157"/>
        <v>1761966.04109295</v>
      </c>
      <c r="Q1012" s="16">
        <f t="shared" si="158"/>
        <v>2.75</v>
      </c>
      <c r="R1012" s="16">
        <f t="shared" si="159"/>
        <v>0.380246879560089</v>
      </c>
      <c r="S1012" s="16">
        <v>62.5782227784731</v>
      </c>
    </row>
    <row r="1013" spans="1:19">
      <c r="A1013" s="5">
        <v>13</v>
      </c>
      <c r="B1013" s="5">
        <v>159.7</v>
      </c>
      <c r="C1013" s="5">
        <v>4.97</v>
      </c>
      <c r="D1013" s="5">
        <v>3000</v>
      </c>
      <c r="E1013" s="5">
        <v>275</v>
      </c>
      <c r="F1013" s="5">
        <v>101</v>
      </c>
      <c r="G1013" s="5" t="s">
        <v>20</v>
      </c>
      <c r="H1013" s="5">
        <v>1636</v>
      </c>
      <c r="I1013" s="14">
        <f t="shared" si="150"/>
        <v>20030.8654451232</v>
      </c>
      <c r="J1013" s="15">
        <f t="shared" si="151"/>
        <v>2415.91019751105</v>
      </c>
      <c r="K1013" s="15">
        <f t="shared" si="152"/>
        <v>17614.9552476122</v>
      </c>
      <c r="L1013" s="15">
        <f t="shared" si="153"/>
        <v>0.120609376770549</v>
      </c>
      <c r="M1013" s="15">
        <f t="shared" si="154"/>
        <v>0.137151083471446</v>
      </c>
      <c r="N1013" s="16">
        <f t="shared" si="155"/>
        <v>32.1327967806841</v>
      </c>
      <c r="O1013" s="16">
        <f t="shared" si="156"/>
        <v>664375.304315537</v>
      </c>
      <c r="P1013" s="16">
        <f t="shared" si="157"/>
        <v>1779110.48000883</v>
      </c>
      <c r="Q1013" s="16">
        <f t="shared" si="158"/>
        <v>2.72277227722772</v>
      </c>
      <c r="R1013" s="16">
        <f t="shared" si="159"/>
        <v>0.373431167867799</v>
      </c>
      <c r="S1013" s="16">
        <v>75.1408891671885</v>
      </c>
    </row>
    <row r="1014" spans="1:19">
      <c r="A1014" s="5">
        <v>14</v>
      </c>
      <c r="B1014" s="5">
        <v>159.6</v>
      </c>
      <c r="C1014" s="5">
        <v>4.98</v>
      </c>
      <c r="D1014" s="5">
        <v>3500</v>
      </c>
      <c r="E1014" s="5">
        <v>270</v>
      </c>
      <c r="F1014" s="5">
        <v>106</v>
      </c>
      <c r="G1014" s="5" t="s">
        <v>20</v>
      </c>
      <c r="H1014" s="5">
        <v>1454</v>
      </c>
      <c r="I1014" s="14">
        <f t="shared" si="150"/>
        <v>20005.7876817659</v>
      </c>
      <c r="J1014" s="15">
        <f t="shared" si="151"/>
        <v>2419.05021936831</v>
      </c>
      <c r="K1014" s="15">
        <f t="shared" si="152"/>
        <v>17586.7374623976</v>
      </c>
      <c r="L1014" s="15">
        <f t="shared" si="153"/>
        <v>0.120917519362316</v>
      </c>
      <c r="M1014" s="15">
        <f t="shared" si="154"/>
        <v>0.137549686207604</v>
      </c>
      <c r="N1014" s="16">
        <f t="shared" si="155"/>
        <v>32.0481927710843</v>
      </c>
      <c r="O1014" s="16">
        <f t="shared" si="156"/>
        <v>653143.559229444</v>
      </c>
      <c r="P1014" s="16">
        <f t="shared" si="157"/>
        <v>1864194.17101415</v>
      </c>
      <c r="Q1014" s="16">
        <f t="shared" si="158"/>
        <v>2.54716981132075</v>
      </c>
      <c r="R1014" s="16">
        <f t="shared" si="159"/>
        <v>0.350362408264652</v>
      </c>
      <c r="S1014" s="16">
        <v>87.719298245614</v>
      </c>
    </row>
    <row r="1015" spans="1:19">
      <c r="A1015" s="5">
        <v>15</v>
      </c>
      <c r="B1015" s="5">
        <v>159.8</v>
      </c>
      <c r="C1015" s="5">
        <v>4.97</v>
      </c>
      <c r="D1015" s="5">
        <v>4000</v>
      </c>
      <c r="E1015" s="5">
        <v>270</v>
      </c>
      <c r="F1015" s="5">
        <v>102</v>
      </c>
      <c r="G1015" s="5" t="s">
        <v>20</v>
      </c>
      <c r="H1015" s="5">
        <v>1333</v>
      </c>
      <c r="I1015" s="14">
        <f t="shared" si="150"/>
        <v>20055.9589164438</v>
      </c>
      <c r="J1015" s="15">
        <f t="shared" si="151"/>
        <v>2417.47156905988</v>
      </c>
      <c r="K1015" s="15">
        <f t="shared" si="152"/>
        <v>17638.4873473839</v>
      </c>
      <c r="L1015" s="15">
        <f t="shared" si="153"/>
        <v>0.120536324347863</v>
      </c>
      <c r="M1015" s="15">
        <f t="shared" si="154"/>
        <v>0.137056626310897</v>
      </c>
      <c r="N1015" s="16">
        <f t="shared" si="155"/>
        <v>32.1529175050302</v>
      </c>
      <c r="O1015" s="16">
        <f t="shared" si="156"/>
        <v>652717.323646168</v>
      </c>
      <c r="P1015" s="16">
        <f t="shared" si="157"/>
        <v>1799125.70943316</v>
      </c>
      <c r="Q1015" s="16">
        <f t="shared" si="158"/>
        <v>2.64705882352941</v>
      </c>
      <c r="R1015" s="16">
        <f t="shared" si="159"/>
        <v>0.362796951999433</v>
      </c>
      <c r="S1015" s="16">
        <v>100.125156445557</v>
      </c>
    </row>
    <row r="1016" spans="1:19">
      <c r="A1016" s="5">
        <v>1</v>
      </c>
      <c r="B1016" s="5">
        <v>218.25</v>
      </c>
      <c r="C1016" s="5">
        <v>6.05</v>
      </c>
      <c r="D1016" s="5">
        <v>4365</v>
      </c>
      <c r="E1016" s="5">
        <v>302.04482</v>
      </c>
      <c r="F1016" s="5">
        <v>39.3246665</v>
      </c>
      <c r="G1016" s="5" t="s">
        <v>217</v>
      </c>
      <c r="H1016" s="5">
        <v>1716.16375501181</v>
      </c>
      <c r="I1016" s="14">
        <f t="shared" si="150"/>
        <v>37410.9198044959</v>
      </c>
      <c r="J1016" s="15">
        <f t="shared" si="151"/>
        <v>4033.20806460511</v>
      </c>
      <c r="K1016" s="15">
        <f t="shared" si="152"/>
        <v>33377.7117398908</v>
      </c>
      <c r="L1016" s="15">
        <f t="shared" si="153"/>
        <v>0.107808310666567</v>
      </c>
      <c r="M1016" s="15">
        <f t="shared" si="154"/>
        <v>0.120835367506182</v>
      </c>
      <c r="N1016" s="16">
        <f t="shared" si="155"/>
        <v>36.0743801652893</v>
      </c>
      <c r="O1016" s="16">
        <f t="shared" si="156"/>
        <v>1218209.6038962</v>
      </c>
      <c r="P1016" s="16">
        <f t="shared" si="157"/>
        <v>1312567.38270434</v>
      </c>
      <c r="Q1016" s="16">
        <f t="shared" si="158"/>
        <v>7.68079800498753</v>
      </c>
      <c r="R1016" s="16">
        <f t="shared" si="159"/>
        <v>0.928112049673419</v>
      </c>
      <c r="S1016" s="16">
        <v>80</v>
      </c>
    </row>
    <row r="1017" spans="1:19">
      <c r="A1017" s="5">
        <v>2</v>
      </c>
      <c r="B1017" s="5">
        <v>218.25</v>
      </c>
      <c r="C1017" s="5">
        <v>6.45</v>
      </c>
      <c r="D1017" s="5">
        <v>3285</v>
      </c>
      <c r="E1017" s="5">
        <v>302.04482</v>
      </c>
      <c r="F1017" s="5">
        <v>42.168595</v>
      </c>
      <c r="G1017" s="5" t="s">
        <v>217</v>
      </c>
      <c r="H1017" s="5">
        <v>2064.29983102849</v>
      </c>
      <c r="I1017" s="14">
        <f t="shared" si="150"/>
        <v>37410.9198044959</v>
      </c>
      <c r="J1017" s="15">
        <f t="shared" si="151"/>
        <v>4291.76113999555</v>
      </c>
      <c r="K1017" s="15">
        <f t="shared" si="152"/>
        <v>33119.1586645003</v>
      </c>
      <c r="L1017" s="15">
        <f t="shared" si="153"/>
        <v>0.114719476624036</v>
      </c>
      <c r="M1017" s="15">
        <f t="shared" si="154"/>
        <v>0.129585451836849</v>
      </c>
      <c r="N1017" s="16">
        <f t="shared" si="155"/>
        <v>33.8372093023256</v>
      </c>
      <c r="O1017" s="16">
        <f t="shared" si="156"/>
        <v>1296304.22101295</v>
      </c>
      <c r="P1017" s="16">
        <f t="shared" si="157"/>
        <v>1396588.38846405</v>
      </c>
      <c r="Q1017" s="16">
        <f t="shared" si="158"/>
        <v>7.16279069767442</v>
      </c>
      <c r="R1017" s="16">
        <f t="shared" si="159"/>
        <v>0.928193468970916</v>
      </c>
      <c r="S1017" s="16">
        <v>60.2061855670103</v>
      </c>
    </row>
    <row r="1018" spans="1:19">
      <c r="A1018" s="5">
        <v>3</v>
      </c>
      <c r="B1018" s="5">
        <v>218.25</v>
      </c>
      <c r="C1018" s="5">
        <v>6.3</v>
      </c>
      <c r="D1018" s="5">
        <v>2204</v>
      </c>
      <c r="E1018" s="5">
        <v>302.04482</v>
      </c>
      <c r="F1018" s="5">
        <v>37.069137</v>
      </c>
      <c r="G1018" s="5" t="s">
        <v>217</v>
      </c>
      <c r="H1018" s="5">
        <v>2412.43590704517</v>
      </c>
      <c r="I1018" s="14">
        <f t="shared" si="150"/>
        <v>37410.9198044959</v>
      </c>
      <c r="J1018" s="15">
        <f t="shared" si="151"/>
        <v>4194.92154644865</v>
      </c>
      <c r="K1018" s="15">
        <f t="shared" si="152"/>
        <v>33215.9982580472</v>
      </c>
      <c r="L1018" s="15">
        <f t="shared" si="153"/>
        <v>0.112130938463174</v>
      </c>
      <c r="M1018" s="15">
        <f t="shared" si="154"/>
        <v>0.126292201542741</v>
      </c>
      <c r="N1018" s="16">
        <f t="shared" si="155"/>
        <v>34.6428571428571</v>
      </c>
      <c r="O1018" s="16">
        <f t="shared" si="156"/>
        <v>1267054.3234112</v>
      </c>
      <c r="P1018" s="16">
        <f t="shared" si="157"/>
        <v>1231288.39001931</v>
      </c>
      <c r="Q1018" s="16">
        <f t="shared" si="158"/>
        <v>8.14814814814815</v>
      </c>
      <c r="R1018" s="16">
        <f t="shared" si="159"/>
        <v>1.02904756812604</v>
      </c>
      <c r="S1018" s="16">
        <v>40.3940435280641</v>
      </c>
    </row>
    <row r="1019" spans="1:19">
      <c r="A1019" s="5">
        <v>8.1</v>
      </c>
      <c r="B1019" s="5">
        <v>95</v>
      </c>
      <c r="C1019" s="5">
        <v>3.8</v>
      </c>
      <c r="D1019" s="5">
        <v>4318</v>
      </c>
      <c r="E1019" s="5">
        <v>281.450855</v>
      </c>
      <c r="F1019" s="5">
        <v>39.3246665</v>
      </c>
      <c r="G1019" s="5" t="s">
        <v>217</v>
      </c>
      <c r="H1019" s="5">
        <v>202.016990589961</v>
      </c>
      <c r="I1019" s="14">
        <f t="shared" si="150"/>
        <v>7088.21842466197</v>
      </c>
      <c r="J1019" s="15">
        <f t="shared" si="151"/>
        <v>1088.75035002808</v>
      </c>
      <c r="K1019" s="15">
        <f t="shared" si="152"/>
        <v>5999.46807463389</v>
      </c>
      <c r="L1019" s="15">
        <f t="shared" si="153"/>
        <v>0.1536</v>
      </c>
      <c r="M1019" s="15">
        <f t="shared" si="154"/>
        <v>0.181474480151229</v>
      </c>
      <c r="N1019" s="16">
        <f t="shared" si="155"/>
        <v>25</v>
      </c>
      <c r="O1019" s="16">
        <f t="shared" si="156"/>
        <v>306429.716896952</v>
      </c>
      <c r="P1019" s="16">
        <f t="shared" si="157"/>
        <v>235927.081212375</v>
      </c>
      <c r="Q1019" s="16">
        <f t="shared" si="158"/>
        <v>7.1571072319202</v>
      </c>
      <c r="R1019" s="16">
        <f t="shared" si="159"/>
        <v>1.29883231429932</v>
      </c>
      <c r="S1019" s="16">
        <v>181.810526315789</v>
      </c>
    </row>
    <row r="1020" spans="1:19">
      <c r="A1020" s="5">
        <v>8.2</v>
      </c>
      <c r="B1020" s="5">
        <v>95.25</v>
      </c>
      <c r="C1020" s="5">
        <v>3.7</v>
      </c>
      <c r="D1020" s="5">
        <v>4320</v>
      </c>
      <c r="E1020" s="5">
        <v>281.450855</v>
      </c>
      <c r="F1020" s="5">
        <v>39.3246665</v>
      </c>
      <c r="G1020" s="5" t="s">
        <v>217</v>
      </c>
      <c r="H1020" s="5">
        <v>154.945070452495</v>
      </c>
      <c r="I1020" s="14">
        <f t="shared" si="150"/>
        <v>7125.57392480856</v>
      </c>
      <c r="J1020" s="15">
        <f t="shared" si="151"/>
        <v>1064.16738751374</v>
      </c>
      <c r="K1020" s="15">
        <f t="shared" si="152"/>
        <v>6061.40653729482</v>
      </c>
      <c r="L1020" s="15">
        <f t="shared" si="153"/>
        <v>0.149344796467371</v>
      </c>
      <c r="M1020" s="15">
        <f t="shared" si="154"/>
        <v>0.175564430626142</v>
      </c>
      <c r="N1020" s="16">
        <f t="shared" si="155"/>
        <v>25.7432432432432</v>
      </c>
      <c r="O1020" s="16">
        <f t="shared" si="156"/>
        <v>299510.821078858</v>
      </c>
      <c r="P1020" s="16">
        <f t="shared" si="157"/>
        <v>238362.790600039</v>
      </c>
      <c r="Q1020" s="16">
        <f t="shared" si="158"/>
        <v>7.1571072319202</v>
      </c>
      <c r="R1020" s="16">
        <f t="shared" si="159"/>
        <v>1.25653345610231</v>
      </c>
      <c r="S1020" s="16">
        <v>181.417322834646</v>
      </c>
    </row>
    <row r="1021" spans="1:19">
      <c r="A1021" s="5">
        <v>8.3</v>
      </c>
      <c r="B1021" s="5">
        <v>95.5</v>
      </c>
      <c r="C1021" s="5">
        <v>3.625</v>
      </c>
      <c r="D1021" s="5">
        <v>4320</v>
      </c>
      <c r="E1021" s="5">
        <v>281.450855</v>
      </c>
      <c r="F1021" s="5">
        <v>39.3246665</v>
      </c>
      <c r="G1021" s="5" t="s">
        <v>217</v>
      </c>
      <c r="H1021" s="5">
        <v>140.235095409536</v>
      </c>
      <c r="I1021" s="14">
        <f t="shared" si="150"/>
        <v>7163.02759972558</v>
      </c>
      <c r="J1021" s="15">
        <f t="shared" si="151"/>
        <v>1046.29761580104</v>
      </c>
      <c r="K1021" s="15">
        <f t="shared" si="152"/>
        <v>6116.72998392454</v>
      </c>
      <c r="L1021" s="15">
        <f t="shared" si="153"/>
        <v>0.146069186699926</v>
      </c>
      <c r="M1021" s="15">
        <f t="shared" si="154"/>
        <v>0.171055060228394</v>
      </c>
      <c r="N1021" s="16">
        <f t="shared" si="155"/>
        <v>26.3448275862069</v>
      </c>
      <c r="O1021" s="16">
        <f t="shared" si="156"/>
        <v>294481.358551664</v>
      </c>
      <c r="P1021" s="16">
        <f t="shared" si="157"/>
        <v>240538.366688383</v>
      </c>
      <c r="Q1021" s="16">
        <f t="shared" si="158"/>
        <v>7.1571072319202</v>
      </c>
      <c r="R1021" s="16">
        <f t="shared" si="159"/>
        <v>1.22425940861719</v>
      </c>
      <c r="S1021" s="16">
        <v>180.942408376963</v>
      </c>
    </row>
    <row r="1022" spans="1:19">
      <c r="A1022" s="5">
        <v>9.1</v>
      </c>
      <c r="B1022" s="5">
        <v>95.25</v>
      </c>
      <c r="C1022" s="5">
        <v>3.775</v>
      </c>
      <c r="D1022" s="5">
        <v>2844</v>
      </c>
      <c r="E1022" s="5">
        <v>281.450855</v>
      </c>
      <c r="F1022" s="5">
        <v>42.168595</v>
      </c>
      <c r="G1022" s="5" t="s">
        <v>217</v>
      </c>
      <c r="H1022" s="5">
        <v>279.489525816209</v>
      </c>
      <c r="I1022" s="14">
        <f t="shared" si="150"/>
        <v>7125.57392480856</v>
      </c>
      <c r="J1022" s="15">
        <f t="shared" si="151"/>
        <v>1084.8488846514</v>
      </c>
      <c r="K1022" s="15">
        <f t="shared" si="152"/>
        <v>6040.72504015716</v>
      </c>
      <c r="L1022" s="15">
        <f t="shared" si="153"/>
        <v>0.152247228938902</v>
      </c>
      <c r="M1022" s="15">
        <f t="shared" si="154"/>
        <v>0.179589184649129</v>
      </c>
      <c r="N1022" s="16">
        <f t="shared" si="155"/>
        <v>25.2317880794702</v>
      </c>
      <c r="O1022" s="16">
        <f t="shared" si="156"/>
        <v>305331.646130933</v>
      </c>
      <c r="P1022" s="16">
        <f t="shared" si="157"/>
        <v>254728.887724746</v>
      </c>
      <c r="Q1022" s="16">
        <f t="shared" si="158"/>
        <v>6.67441860465116</v>
      </c>
      <c r="R1022" s="16">
        <f t="shared" si="159"/>
        <v>1.19865339521628</v>
      </c>
      <c r="S1022" s="16">
        <v>119.433070866142</v>
      </c>
    </row>
    <row r="1023" spans="1:19">
      <c r="A1023" s="5">
        <v>9.2</v>
      </c>
      <c r="B1023" s="5">
        <v>95.25</v>
      </c>
      <c r="C1023" s="5">
        <v>3.7</v>
      </c>
      <c r="D1023" s="5">
        <v>2844</v>
      </c>
      <c r="E1023" s="5">
        <v>281.450855</v>
      </c>
      <c r="F1023" s="5">
        <v>42.168595</v>
      </c>
      <c r="G1023" s="5" t="s">
        <v>217</v>
      </c>
      <c r="H1023" s="5">
        <v>281.450855821936</v>
      </c>
      <c r="I1023" s="14">
        <f t="shared" si="150"/>
        <v>7125.57392480856</v>
      </c>
      <c r="J1023" s="15">
        <f t="shared" si="151"/>
        <v>1064.16738751374</v>
      </c>
      <c r="K1023" s="15">
        <f t="shared" si="152"/>
        <v>6061.40653729482</v>
      </c>
      <c r="L1023" s="15">
        <f t="shared" si="153"/>
        <v>0.149344796467371</v>
      </c>
      <c r="M1023" s="15">
        <f t="shared" si="154"/>
        <v>0.175564430626142</v>
      </c>
      <c r="N1023" s="16">
        <f t="shared" si="155"/>
        <v>25.7432432432432</v>
      </c>
      <c r="O1023" s="16">
        <f t="shared" si="156"/>
        <v>299510.821078858</v>
      </c>
      <c r="P1023" s="16">
        <f t="shared" si="157"/>
        <v>255600.997401538</v>
      </c>
      <c r="Q1023" s="16">
        <f t="shared" si="158"/>
        <v>6.67441860465116</v>
      </c>
      <c r="R1023" s="16">
        <f t="shared" si="159"/>
        <v>1.17179050208611</v>
      </c>
      <c r="S1023" s="16">
        <v>119.433070866142</v>
      </c>
    </row>
    <row r="1024" spans="1:19">
      <c r="A1024" s="5">
        <v>9.3</v>
      </c>
      <c r="B1024" s="5">
        <v>95.5</v>
      </c>
      <c r="C1024" s="5">
        <v>3.825</v>
      </c>
      <c r="D1024" s="5">
        <v>2844</v>
      </c>
      <c r="E1024" s="5">
        <v>281.450855</v>
      </c>
      <c r="F1024" s="5">
        <v>42.168595</v>
      </c>
      <c r="G1024" s="5" t="s">
        <v>217</v>
      </c>
      <c r="H1024" s="5">
        <v>291.257505850575</v>
      </c>
      <c r="I1024" s="14">
        <f t="shared" si="150"/>
        <v>7163.02759972558</v>
      </c>
      <c r="J1024" s="15">
        <f t="shared" si="151"/>
        <v>1101.62106243076</v>
      </c>
      <c r="K1024" s="15">
        <f t="shared" si="152"/>
        <v>6061.40653729482</v>
      </c>
      <c r="L1024" s="15">
        <f t="shared" si="153"/>
        <v>0.153792659192456</v>
      </c>
      <c r="M1024" s="15">
        <f t="shared" si="154"/>
        <v>0.181743470868133</v>
      </c>
      <c r="N1024" s="16">
        <f t="shared" si="155"/>
        <v>24.9673202614379</v>
      </c>
      <c r="O1024" s="16">
        <f t="shared" si="156"/>
        <v>310052.189907145</v>
      </c>
      <c r="P1024" s="16">
        <f t="shared" si="157"/>
        <v>255600.997401538</v>
      </c>
      <c r="Q1024" s="16">
        <f t="shared" si="158"/>
        <v>6.67441860465116</v>
      </c>
      <c r="R1024" s="16">
        <f t="shared" si="159"/>
        <v>1.21303200323615</v>
      </c>
      <c r="S1024" s="16">
        <v>119.120418848168</v>
      </c>
    </row>
    <row r="1025" spans="1:19">
      <c r="A1025" s="5">
        <v>10.1</v>
      </c>
      <c r="B1025" s="5">
        <v>95.5</v>
      </c>
      <c r="C1025" s="5">
        <v>3.725</v>
      </c>
      <c r="D1025" s="5">
        <v>1942.5</v>
      </c>
      <c r="E1025" s="5">
        <v>281.450855</v>
      </c>
      <c r="F1025" s="5">
        <v>37.069137</v>
      </c>
      <c r="G1025" s="5" t="s">
        <v>217</v>
      </c>
      <c r="H1025" s="5">
        <v>362.846051059639</v>
      </c>
      <c r="I1025" s="14">
        <f t="shared" si="150"/>
        <v>7163.02759972558</v>
      </c>
      <c r="J1025" s="15">
        <f t="shared" si="151"/>
        <v>1073.99075504243</v>
      </c>
      <c r="K1025" s="15">
        <f t="shared" si="152"/>
        <v>6089.03684468315</v>
      </c>
      <c r="L1025" s="15">
        <f t="shared" si="153"/>
        <v>0.149935308790877</v>
      </c>
      <c r="M1025" s="15">
        <f t="shared" si="154"/>
        <v>0.176381057043566</v>
      </c>
      <c r="N1025" s="16">
        <f t="shared" si="155"/>
        <v>25.6375838926174</v>
      </c>
      <c r="O1025" s="16">
        <f t="shared" si="156"/>
        <v>302275.616268788</v>
      </c>
      <c r="P1025" s="16">
        <f t="shared" si="157"/>
        <v>225715.340993607</v>
      </c>
      <c r="Q1025" s="16">
        <f t="shared" si="158"/>
        <v>7.59259259259259</v>
      </c>
      <c r="R1025" s="16">
        <f t="shared" si="159"/>
        <v>1.33918950718263</v>
      </c>
      <c r="S1025" s="16">
        <v>81.3612565445026</v>
      </c>
    </row>
    <row r="1026" spans="1:19">
      <c r="A1026" s="5">
        <v>10.2</v>
      </c>
      <c r="B1026" s="5">
        <v>95.25</v>
      </c>
      <c r="C1026" s="5">
        <v>3.775</v>
      </c>
      <c r="D1026" s="5">
        <v>1942</v>
      </c>
      <c r="E1026" s="5">
        <v>281.450855</v>
      </c>
      <c r="F1026" s="5">
        <v>37.069137</v>
      </c>
      <c r="G1026" s="5" t="s">
        <v>217</v>
      </c>
      <c r="H1026" s="5">
        <v>406.975976188514</v>
      </c>
      <c r="I1026" s="14">
        <f t="shared" si="150"/>
        <v>7125.57392480856</v>
      </c>
      <c r="J1026" s="15">
        <f t="shared" si="151"/>
        <v>1084.8488846514</v>
      </c>
      <c r="K1026" s="15">
        <f t="shared" si="152"/>
        <v>6040.72504015716</v>
      </c>
      <c r="L1026" s="15">
        <f t="shared" si="153"/>
        <v>0.152247228938902</v>
      </c>
      <c r="M1026" s="15">
        <f t="shared" si="154"/>
        <v>0.179589184649129</v>
      </c>
      <c r="N1026" s="16">
        <f t="shared" si="155"/>
        <v>25.2317880794702</v>
      </c>
      <c r="O1026" s="16">
        <f t="shared" si="156"/>
        <v>305331.646130933</v>
      </c>
      <c r="P1026" s="16">
        <f t="shared" si="157"/>
        <v>223924.464092916</v>
      </c>
      <c r="Q1026" s="16">
        <f t="shared" si="158"/>
        <v>7.59259259259259</v>
      </c>
      <c r="R1026" s="16">
        <f t="shared" si="159"/>
        <v>1.36354751307672</v>
      </c>
      <c r="S1026" s="16">
        <v>81.5538057742782</v>
      </c>
    </row>
    <row r="1027" spans="1:19">
      <c r="A1027" s="5">
        <v>10.3</v>
      </c>
      <c r="B1027" s="5">
        <v>95.25</v>
      </c>
      <c r="C1027" s="5">
        <v>3.775</v>
      </c>
      <c r="D1027" s="5">
        <v>1943.25</v>
      </c>
      <c r="E1027" s="5">
        <v>281.450855</v>
      </c>
      <c r="F1027" s="5">
        <v>37.069137</v>
      </c>
      <c r="G1027" s="5" t="s">
        <v>217</v>
      </c>
      <c r="H1027" s="5">
        <v>406.975976188514</v>
      </c>
      <c r="I1027" s="14">
        <f t="shared" ref="I1027:I1090" si="160">(PI()*B1027^2)/4</f>
        <v>7125.57392480856</v>
      </c>
      <c r="J1027" s="15">
        <f t="shared" ref="J1027:J1090" si="161">(PI()*(B1027^2-(B1027-2*C1027)^2))/4</f>
        <v>1084.8488846514</v>
      </c>
      <c r="K1027" s="15">
        <f t="shared" ref="K1027:K1090" si="162">(PI()*(B1027-2*C1027)^2)/4</f>
        <v>6040.72504015716</v>
      </c>
      <c r="L1027" s="15">
        <f t="shared" ref="L1027:L1090" si="163">J1027/I1027</f>
        <v>0.152247228938902</v>
      </c>
      <c r="M1027" s="15">
        <f t="shared" ref="M1027:M1090" si="164">J1027/K1027</f>
        <v>0.179589184649129</v>
      </c>
      <c r="N1027" s="16">
        <f t="shared" ref="N1027:N1090" si="165">B1027/C1027</f>
        <v>25.2317880794702</v>
      </c>
      <c r="O1027" s="16">
        <f t="shared" ref="O1027:O1090" si="166">J1027*E1027</f>
        <v>305331.646130933</v>
      </c>
      <c r="P1027" s="16">
        <f t="shared" ref="P1027:P1090" si="167">K1027*F1027</f>
        <v>223924.464092916</v>
      </c>
      <c r="Q1027" s="16">
        <f t="shared" ref="Q1027:Q1090" si="168">E1027/F1027</f>
        <v>7.59259259259259</v>
      </c>
      <c r="R1027" s="16">
        <f t="shared" ref="R1027:R1090" si="169">O1027/P1027</f>
        <v>1.36354751307672</v>
      </c>
      <c r="S1027" s="16">
        <v>81.6062992125984</v>
      </c>
    </row>
    <row r="1028" spans="1:19">
      <c r="A1028" s="5">
        <v>11.1</v>
      </c>
      <c r="B1028" s="5">
        <v>95.5</v>
      </c>
      <c r="C1028" s="5">
        <v>3.75</v>
      </c>
      <c r="D1028" s="5">
        <v>1469</v>
      </c>
      <c r="E1028" s="5">
        <v>281.450855</v>
      </c>
      <c r="F1028" s="5">
        <v>42.168595</v>
      </c>
      <c r="G1028" s="5" t="s">
        <v>217</v>
      </c>
      <c r="H1028" s="5">
        <v>444.241246297342</v>
      </c>
      <c r="I1028" s="14">
        <f t="shared" si="160"/>
        <v>7163.02759972558</v>
      </c>
      <c r="J1028" s="15">
        <f t="shared" si="161"/>
        <v>1080.90422237574</v>
      </c>
      <c r="K1028" s="15">
        <f t="shared" si="162"/>
        <v>6082.12337734984</v>
      </c>
      <c r="L1028" s="15">
        <f t="shared" si="163"/>
        <v>0.150900468737151</v>
      </c>
      <c r="M1028" s="15">
        <f t="shared" si="164"/>
        <v>0.177718233471074</v>
      </c>
      <c r="N1028" s="16">
        <f t="shared" si="165"/>
        <v>25.4666666666667</v>
      </c>
      <c r="O1028" s="16">
        <f t="shared" si="166"/>
        <v>304221.417560762</v>
      </c>
      <c r="P1028" s="16">
        <f t="shared" si="167"/>
        <v>256474.597439498</v>
      </c>
      <c r="Q1028" s="16">
        <f t="shared" si="168"/>
        <v>6.67441860465116</v>
      </c>
      <c r="R1028" s="16">
        <f t="shared" si="169"/>
        <v>1.18616588386508</v>
      </c>
      <c r="S1028" s="16">
        <v>61.5287958115183</v>
      </c>
    </row>
    <row r="1029" spans="1:19">
      <c r="A1029" s="5">
        <v>11.2</v>
      </c>
      <c r="B1029" s="5">
        <v>95.25</v>
      </c>
      <c r="C1029" s="5">
        <v>3.725</v>
      </c>
      <c r="D1029" s="5">
        <v>1466.75</v>
      </c>
      <c r="E1029" s="5">
        <v>281.450855</v>
      </c>
      <c r="F1029" s="5">
        <v>42.168595</v>
      </c>
      <c r="G1029" s="5" t="s">
        <v>217</v>
      </c>
      <c r="H1029" s="5">
        <v>441.29925128875</v>
      </c>
      <c r="I1029" s="14">
        <f t="shared" si="160"/>
        <v>7125.57392480856</v>
      </c>
      <c r="J1029" s="15">
        <f t="shared" si="161"/>
        <v>1071.06514688378</v>
      </c>
      <c r="K1029" s="15">
        <f t="shared" si="162"/>
        <v>6054.50877792478</v>
      </c>
      <c r="L1029" s="15">
        <f t="shared" si="163"/>
        <v>0.150312825070095</v>
      </c>
      <c r="M1029" s="15">
        <f t="shared" si="164"/>
        <v>0.176903723517417</v>
      </c>
      <c r="N1029" s="16">
        <f t="shared" si="165"/>
        <v>25.5704697986577</v>
      </c>
      <c r="O1029" s="16">
        <f t="shared" si="166"/>
        <v>301452.20135114</v>
      </c>
      <c r="P1029" s="16">
        <f t="shared" si="167"/>
        <v>255310.128580255</v>
      </c>
      <c r="Q1029" s="16">
        <f t="shared" si="168"/>
        <v>6.67441860465116</v>
      </c>
      <c r="R1029" s="16">
        <f t="shared" si="169"/>
        <v>1.18072950347671</v>
      </c>
      <c r="S1029" s="16">
        <v>61.5958005249344</v>
      </c>
    </row>
    <row r="1030" spans="1:19">
      <c r="A1030" s="5">
        <v>11.3</v>
      </c>
      <c r="B1030" s="5">
        <v>95</v>
      </c>
      <c r="C1030" s="5">
        <v>3.7</v>
      </c>
      <c r="D1030" s="5">
        <v>1468</v>
      </c>
      <c r="E1030" s="5">
        <v>281.450855</v>
      </c>
      <c r="F1030" s="5">
        <v>42.168595</v>
      </c>
      <c r="G1030" s="5" t="s">
        <v>217</v>
      </c>
      <c r="H1030" s="5">
        <v>495.235826446264</v>
      </c>
      <c r="I1030" s="14">
        <f t="shared" si="160"/>
        <v>7088.21842466197</v>
      </c>
      <c r="J1030" s="15">
        <f t="shared" si="161"/>
        <v>1061.26141430917</v>
      </c>
      <c r="K1030" s="15">
        <f t="shared" si="162"/>
        <v>6026.9570103528</v>
      </c>
      <c r="L1030" s="15">
        <f t="shared" si="163"/>
        <v>0.14972188365651</v>
      </c>
      <c r="M1030" s="15">
        <f t="shared" si="164"/>
        <v>0.176085778027981</v>
      </c>
      <c r="N1030" s="16">
        <f t="shared" si="165"/>
        <v>25.6756756756757</v>
      </c>
      <c r="O1030" s="16">
        <f t="shared" si="166"/>
        <v>298692.932435825</v>
      </c>
      <c r="P1030" s="16">
        <f t="shared" si="167"/>
        <v>254148.309251978</v>
      </c>
      <c r="Q1030" s="16">
        <f t="shared" si="168"/>
        <v>6.67441860465116</v>
      </c>
      <c r="R1030" s="16">
        <f t="shared" si="169"/>
        <v>1.17527019288443</v>
      </c>
      <c r="S1030" s="16">
        <v>61.8105263157895</v>
      </c>
    </row>
    <row r="1031" spans="1:19">
      <c r="A1031" s="5">
        <v>12.1</v>
      </c>
      <c r="B1031" s="5">
        <v>95.5</v>
      </c>
      <c r="C1031" s="5">
        <v>3.7</v>
      </c>
      <c r="D1031" s="5">
        <v>997.5</v>
      </c>
      <c r="E1031" s="5">
        <v>281.450855</v>
      </c>
      <c r="F1031" s="5">
        <v>42.168595</v>
      </c>
      <c r="G1031" s="5" t="s">
        <v>217</v>
      </c>
      <c r="H1031" s="5">
        <v>524.655776532181</v>
      </c>
      <c r="I1031" s="14">
        <f t="shared" si="160"/>
        <v>7163.02759972558</v>
      </c>
      <c r="J1031" s="15">
        <f t="shared" si="161"/>
        <v>1067.07336071831</v>
      </c>
      <c r="K1031" s="15">
        <f t="shared" si="162"/>
        <v>6095.95423900727</v>
      </c>
      <c r="L1031" s="15">
        <f t="shared" si="163"/>
        <v>0.148969600614018</v>
      </c>
      <c r="M1031" s="15">
        <f t="shared" si="164"/>
        <v>0.175046156660796</v>
      </c>
      <c r="N1031" s="16">
        <f t="shared" si="165"/>
        <v>25.8108108108108</v>
      </c>
      <c r="O1031" s="16">
        <f t="shared" si="166"/>
        <v>300328.709721892</v>
      </c>
      <c r="P1031" s="16">
        <f t="shared" si="167"/>
        <v>257057.825443231</v>
      </c>
      <c r="Q1031" s="16">
        <f t="shared" si="168"/>
        <v>6.67441860465116</v>
      </c>
      <c r="R1031" s="16">
        <f t="shared" si="169"/>
        <v>1.1683313246895</v>
      </c>
      <c r="S1031" s="16">
        <v>41.7801047120419</v>
      </c>
    </row>
    <row r="1032" spans="1:19">
      <c r="A1032" s="5">
        <v>12.2</v>
      </c>
      <c r="B1032" s="5">
        <v>95.25</v>
      </c>
      <c r="C1032" s="5">
        <v>3.55</v>
      </c>
      <c r="D1032" s="5">
        <v>992</v>
      </c>
      <c r="E1032" s="5">
        <v>281.450855</v>
      </c>
      <c r="F1032" s="5">
        <v>42.168595</v>
      </c>
      <c r="G1032" s="5" t="s">
        <v>217</v>
      </c>
      <c r="H1032" s="5">
        <v>507.003806480631</v>
      </c>
      <c r="I1032" s="14">
        <f t="shared" si="160"/>
        <v>7125.57392480856</v>
      </c>
      <c r="J1032" s="15">
        <f t="shared" si="161"/>
        <v>1022.69836448635</v>
      </c>
      <c r="K1032" s="15">
        <f t="shared" si="162"/>
        <v>6102.87556032221</v>
      </c>
      <c r="L1032" s="15">
        <f t="shared" si="163"/>
        <v>0.143525051494547</v>
      </c>
      <c r="M1032" s="15">
        <f t="shared" si="164"/>
        <v>0.167576473480046</v>
      </c>
      <c r="N1032" s="16">
        <f t="shared" si="165"/>
        <v>26.830985915493</v>
      </c>
      <c r="O1032" s="16">
        <f t="shared" si="166"/>
        <v>287839.329091786</v>
      </c>
      <c r="P1032" s="16">
        <f t="shared" si="167"/>
        <v>257349.687838625</v>
      </c>
      <c r="Q1032" s="16">
        <f t="shared" si="168"/>
        <v>6.67441860465116</v>
      </c>
      <c r="R1032" s="16">
        <f t="shared" si="169"/>
        <v>1.11847553229705</v>
      </c>
      <c r="S1032" s="16">
        <v>41.6587926509186</v>
      </c>
    </row>
    <row r="1033" spans="1:19">
      <c r="A1033" s="5">
        <v>12.3</v>
      </c>
      <c r="B1033" s="5">
        <v>95.25</v>
      </c>
      <c r="C1033" s="5">
        <v>3.675</v>
      </c>
      <c r="D1033" s="5">
        <v>995</v>
      </c>
      <c r="E1033" s="5">
        <v>281.450855</v>
      </c>
      <c r="F1033" s="5">
        <v>42.168595</v>
      </c>
      <c r="G1033" s="5" t="s">
        <v>217</v>
      </c>
      <c r="H1033" s="5">
        <v>534.46242656082</v>
      </c>
      <c r="I1033" s="14">
        <f t="shared" si="160"/>
        <v>7125.57392480856</v>
      </c>
      <c r="J1033" s="15">
        <f t="shared" si="161"/>
        <v>1057.26570115288</v>
      </c>
      <c r="K1033" s="15">
        <f t="shared" si="162"/>
        <v>6068.30822365568</v>
      </c>
      <c r="L1033" s="15">
        <f t="shared" si="163"/>
        <v>0.148376216752433</v>
      </c>
      <c r="M1033" s="15">
        <f t="shared" si="164"/>
        <v>0.174227422567531</v>
      </c>
      <c r="N1033" s="16">
        <f t="shared" si="165"/>
        <v>25.9183673469388</v>
      </c>
      <c r="O1033" s="16">
        <f t="shared" si="166"/>
        <v>297568.335551653</v>
      </c>
      <c r="P1033" s="16">
        <f t="shared" si="167"/>
        <v>255892.031818506</v>
      </c>
      <c r="Q1033" s="16">
        <f t="shared" si="168"/>
        <v>6.67441860465116</v>
      </c>
      <c r="R1033" s="16">
        <f t="shared" si="169"/>
        <v>1.16286675062515</v>
      </c>
      <c r="S1033" s="16">
        <v>41.7847769028871</v>
      </c>
    </row>
    <row r="1034" spans="1:19">
      <c r="A1034" s="5">
        <v>13.1</v>
      </c>
      <c r="B1034" s="5">
        <v>95.25</v>
      </c>
      <c r="C1034" s="5">
        <v>3.725</v>
      </c>
      <c r="D1034" s="5">
        <v>504</v>
      </c>
      <c r="E1034" s="5">
        <v>281.450855</v>
      </c>
      <c r="F1034" s="5">
        <v>42.168595</v>
      </c>
      <c r="G1034" s="5" t="s">
        <v>217</v>
      </c>
      <c r="H1034" s="5">
        <v>637.432251861529</v>
      </c>
      <c r="I1034" s="14">
        <f t="shared" si="160"/>
        <v>7125.57392480856</v>
      </c>
      <c r="J1034" s="15">
        <f t="shared" si="161"/>
        <v>1071.06514688378</v>
      </c>
      <c r="K1034" s="15">
        <f t="shared" si="162"/>
        <v>6054.50877792478</v>
      </c>
      <c r="L1034" s="15">
        <f t="shared" si="163"/>
        <v>0.150312825070095</v>
      </c>
      <c r="M1034" s="15">
        <f t="shared" si="164"/>
        <v>0.176903723517417</v>
      </c>
      <c r="N1034" s="16">
        <f t="shared" si="165"/>
        <v>25.5704697986577</v>
      </c>
      <c r="O1034" s="16">
        <f t="shared" si="166"/>
        <v>301452.20135114</v>
      </c>
      <c r="P1034" s="16">
        <f t="shared" si="167"/>
        <v>255310.128580255</v>
      </c>
      <c r="Q1034" s="16">
        <f t="shared" si="168"/>
        <v>6.67441860465116</v>
      </c>
      <c r="R1034" s="16">
        <f t="shared" si="169"/>
        <v>1.18072950347671</v>
      </c>
      <c r="S1034" s="16">
        <v>21.1653543307087</v>
      </c>
    </row>
    <row r="1035" spans="1:19">
      <c r="A1035" s="5">
        <v>13.2</v>
      </c>
      <c r="B1035" s="5">
        <v>95.5</v>
      </c>
      <c r="C1035" s="5">
        <v>3.75</v>
      </c>
      <c r="D1035" s="5">
        <v>503.75</v>
      </c>
      <c r="E1035" s="5">
        <v>281.450855</v>
      </c>
      <c r="F1035" s="5">
        <v>42.168595</v>
      </c>
      <c r="G1035" s="5" t="s">
        <v>217</v>
      </c>
      <c r="H1035" s="5">
        <v>632.528926847209</v>
      </c>
      <c r="I1035" s="14">
        <f t="shared" si="160"/>
        <v>7163.02759972558</v>
      </c>
      <c r="J1035" s="15">
        <f t="shared" si="161"/>
        <v>1080.90422237574</v>
      </c>
      <c r="K1035" s="15">
        <f t="shared" si="162"/>
        <v>6082.12337734984</v>
      </c>
      <c r="L1035" s="15">
        <f t="shared" si="163"/>
        <v>0.150900468737151</v>
      </c>
      <c r="M1035" s="15">
        <f t="shared" si="164"/>
        <v>0.177718233471074</v>
      </c>
      <c r="N1035" s="16">
        <f t="shared" si="165"/>
        <v>25.4666666666667</v>
      </c>
      <c r="O1035" s="16">
        <f t="shared" si="166"/>
        <v>304221.417560762</v>
      </c>
      <c r="P1035" s="16">
        <f t="shared" si="167"/>
        <v>256474.597439498</v>
      </c>
      <c r="Q1035" s="16">
        <f t="shared" si="168"/>
        <v>6.67441860465116</v>
      </c>
      <c r="R1035" s="16">
        <f t="shared" si="169"/>
        <v>1.18616588386508</v>
      </c>
      <c r="S1035" s="16">
        <v>21.0994764397906</v>
      </c>
    </row>
    <row r="1036" spans="1:19">
      <c r="A1036" s="5">
        <v>13.3</v>
      </c>
      <c r="B1036" s="5">
        <v>95.5</v>
      </c>
      <c r="C1036" s="5">
        <v>3.725</v>
      </c>
      <c r="D1036" s="5">
        <v>505</v>
      </c>
      <c r="E1036" s="5">
        <v>281.450855</v>
      </c>
      <c r="F1036" s="5">
        <v>42.168595</v>
      </c>
      <c r="G1036" s="5" t="s">
        <v>217</v>
      </c>
      <c r="H1036" s="5">
        <v>666.852201947445</v>
      </c>
      <c r="I1036" s="14">
        <f t="shared" si="160"/>
        <v>7163.02759972558</v>
      </c>
      <c r="J1036" s="15">
        <f t="shared" si="161"/>
        <v>1073.99075504243</v>
      </c>
      <c r="K1036" s="15">
        <f t="shared" si="162"/>
        <v>6089.03684468315</v>
      </c>
      <c r="L1036" s="15">
        <f t="shared" si="163"/>
        <v>0.149935308790877</v>
      </c>
      <c r="M1036" s="15">
        <f t="shared" si="164"/>
        <v>0.176381057043566</v>
      </c>
      <c r="N1036" s="16">
        <f t="shared" si="165"/>
        <v>25.6375838926174</v>
      </c>
      <c r="O1036" s="16">
        <f t="shared" si="166"/>
        <v>302275.616268788</v>
      </c>
      <c r="P1036" s="16">
        <f t="shared" si="167"/>
        <v>256766.128643521</v>
      </c>
      <c r="Q1036" s="16">
        <f t="shared" si="168"/>
        <v>6.67441860465116</v>
      </c>
      <c r="R1036" s="16">
        <f t="shared" si="169"/>
        <v>1.17724100863961</v>
      </c>
      <c r="S1036" s="16">
        <v>21.151832460733</v>
      </c>
    </row>
    <row r="1037" spans="1:19">
      <c r="A1037" s="5" t="s">
        <v>767</v>
      </c>
      <c r="B1037" s="5">
        <v>96</v>
      </c>
      <c r="C1037" s="5">
        <v>5</v>
      </c>
      <c r="D1037" s="5">
        <v>450</v>
      </c>
      <c r="E1037" s="5">
        <v>410.898635</v>
      </c>
      <c r="F1037" s="5">
        <v>33.4406765</v>
      </c>
      <c r="G1037" s="5" t="s">
        <v>217</v>
      </c>
      <c r="H1037" s="5">
        <v>1044.40822805004</v>
      </c>
      <c r="I1037" s="14">
        <f t="shared" si="160"/>
        <v>7238.22947387088</v>
      </c>
      <c r="J1037" s="15">
        <f t="shared" si="161"/>
        <v>1429.42465738336</v>
      </c>
      <c r="K1037" s="15">
        <f t="shared" si="162"/>
        <v>5808.80481648753</v>
      </c>
      <c r="L1037" s="15">
        <f t="shared" si="163"/>
        <v>0.197482638888889</v>
      </c>
      <c r="M1037" s="15">
        <f t="shared" si="164"/>
        <v>0.246078961600865</v>
      </c>
      <c r="N1037" s="16">
        <f t="shared" si="165"/>
        <v>19.2</v>
      </c>
      <c r="O1037" s="16">
        <f t="shared" si="166"/>
        <v>587348.640554164</v>
      </c>
      <c r="P1037" s="16">
        <f t="shared" si="167"/>
        <v>194250.362719801</v>
      </c>
      <c r="Q1037" s="16">
        <f t="shared" si="168"/>
        <v>12.2873900293255</v>
      </c>
      <c r="R1037" s="16">
        <f t="shared" si="169"/>
        <v>3.02366817920125</v>
      </c>
      <c r="S1037" s="16">
        <v>18.75</v>
      </c>
    </row>
    <row r="1038" spans="1:19">
      <c r="A1038" s="5" t="s">
        <v>768</v>
      </c>
      <c r="B1038" s="5">
        <v>96</v>
      </c>
      <c r="C1038" s="5">
        <v>5</v>
      </c>
      <c r="D1038" s="5">
        <v>450</v>
      </c>
      <c r="E1038" s="5">
        <v>410.898635</v>
      </c>
      <c r="F1038" s="5">
        <v>33.4406765</v>
      </c>
      <c r="G1038" s="5" t="s">
        <v>217</v>
      </c>
      <c r="H1038" s="5">
        <v>1166.99135340803</v>
      </c>
      <c r="I1038" s="14">
        <f t="shared" si="160"/>
        <v>7238.22947387088</v>
      </c>
      <c r="J1038" s="15">
        <f t="shared" si="161"/>
        <v>1429.42465738336</v>
      </c>
      <c r="K1038" s="15">
        <f t="shared" si="162"/>
        <v>5808.80481648753</v>
      </c>
      <c r="L1038" s="15">
        <f t="shared" si="163"/>
        <v>0.197482638888889</v>
      </c>
      <c r="M1038" s="15">
        <f t="shared" si="164"/>
        <v>0.246078961600865</v>
      </c>
      <c r="N1038" s="16">
        <f t="shared" si="165"/>
        <v>19.2</v>
      </c>
      <c r="O1038" s="16">
        <f t="shared" si="166"/>
        <v>587348.640554164</v>
      </c>
      <c r="P1038" s="16">
        <f t="shared" si="167"/>
        <v>194250.362719801</v>
      </c>
      <c r="Q1038" s="16">
        <f t="shared" si="168"/>
        <v>12.2873900293255</v>
      </c>
      <c r="R1038" s="16">
        <f t="shared" si="169"/>
        <v>3.02366817920125</v>
      </c>
      <c r="S1038" s="16">
        <v>18.75</v>
      </c>
    </row>
    <row r="1039" spans="1:19">
      <c r="A1039" s="5" t="s">
        <v>769</v>
      </c>
      <c r="B1039" s="5">
        <v>166</v>
      </c>
      <c r="C1039" s="5">
        <v>5</v>
      </c>
      <c r="D1039" s="5">
        <v>1100</v>
      </c>
      <c r="E1039" s="5">
        <v>274.5862</v>
      </c>
      <c r="F1039" s="5">
        <v>34.715541</v>
      </c>
      <c r="G1039" s="5" t="s">
        <v>217</v>
      </c>
      <c r="H1039" s="5">
        <v>1985.84663079938</v>
      </c>
      <c r="I1039" s="14">
        <f t="shared" si="160"/>
        <v>21642.4317905801</v>
      </c>
      <c r="J1039" s="15">
        <f t="shared" si="161"/>
        <v>2528.98208613978</v>
      </c>
      <c r="K1039" s="15">
        <f t="shared" si="162"/>
        <v>19113.4497044403</v>
      </c>
      <c r="L1039" s="15">
        <f t="shared" si="163"/>
        <v>0.116852953984613</v>
      </c>
      <c r="M1039" s="15">
        <f t="shared" si="164"/>
        <v>0.132314266929652</v>
      </c>
      <c r="N1039" s="16">
        <f t="shared" si="165"/>
        <v>33.2</v>
      </c>
      <c r="O1039" s="16">
        <f t="shared" si="166"/>
        <v>694423.580901196</v>
      </c>
      <c r="P1039" s="16">
        <f t="shared" si="167"/>
        <v>663533.746865935</v>
      </c>
      <c r="Q1039" s="16">
        <f t="shared" si="168"/>
        <v>7.90960451977401</v>
      </c>
      <c r="R1039" s="16">
        <f t="shared" si="169"/>
        <v>1.04655352373736</v>
      </c>
      <c r="S1039" s="16">
        <v>26.5060240963855</v>
      </c>
    </row>
    <row r="1040" spans="1:19">
      <c r="A1040" s="5" t="s">
        <v>770</v>
      </c>
      <c r="B1040" s="5">
        <v>108</v>
      </c>
      <c r="C1040" s="5">
        <v>4</v>
      </c>
      <c r="D1040" s="5">
        <v>648</v>
      </c>
      <c r="E1040" s="5">
        <v>339.113957</v>
      </c>
      <c r="F1040" s="5">
        <v>34.0290755</v>
      </c>
      <c r="G1040" s="5" t="s">
        <v>217</v>
      </c>
      <c r="H1040" s="5">
        <v>825.719932411395</v>
      </c>
      <c r="I1040" s="14">
        <f t="shared" si="160"/>
        <v>9160.88417786784</v>
      </c>
      <c r="J1040" s="15">
        <f t="shared" si="161"/>
        <v>1306.90254389335</v>
      </c>
      <c r="K1040" s="15">
        <f t="shared" si="162"/>
        <v>7853.98163397448</v>
      </c>
      <c r="L1040" s="15">
        <f t="shared" si="163"/>
        <v>0.142661179698217</v>
      </c>
      <c r="M1040" s="15">
        <f t="shared" si="164"/>
        <v>0.1664</v>
      </c>
      <c r="N1040" s="16">
        <f t="shared" si="165"/>
        <v>27</v>
      </c>
      <c r="O1040" s="16">
        <f t="shared" si="166"/>
        <v>443188.893073042</v>
      </c>
      <c r="P1040" s="16">
        <f t="shared" si="167"/>
        <v>267263.733998131</v>
      </c>
      <c r="Q1040" s="16">
        <f t="shared" si="168"/>
        <v>9.96541786743516</v>
      </c>
      <c r="R1040" s="16">
        <f t="shared" si="169"/>
        <v>1.65824553314121</v>
      </c>
      <c r="S1040" s="16">
        <v>24</v>
      </c>
    </row>
    <row r="1041" spans="1:19">
      <c r="A1041" s="5" t="s">
        <v>771</v>
      </c>
      <c r="B1041" s="5">
        <v>108</v>
      </c>
      <c r="C1041" s="5">
        <v>4</v>
      </c>
      <c r="D1041" s="5">
        <v>648</v>
      </c>
      <c r="E1041" s="5">
        <v>339.113957</v>
      </c>
      <c r="F1041" s="5">
        <v>34.0290755</v>
      </c>
      <c r="G1041" s="5" t="s">
        <v>217</v>
      </c>
      <c r="H1041" s="5">
        <v>828.661927419987</v>
      </c>
      <c r="I1041" s="14">
        <f t="shared" si="160"/>
        <v>9160.88417786784</v>
      </c>
      <c r="J1041" s="15">
        <f t="shared" si="161"/>
        <v>1306.90254389335</v>
      </c>
      <c r="K1041" s="15">
        <f t="shared" si="162"/>
        <v>7853.98163397448</v>
      </c>
      <c r="L1041" s="15">
        <f t="shared" si="163"/>
        <v>0.142661179698217</v>
      </c>
      <c r="M1041" s="15">
        <f t="shared" si="164"/>
        <v>0.1664</v>
      </c>
      <c r="N1041" s="16">
        <f t="shared" si="165"/>
        <v>27</v>
      </c>
      <c r="O1041" s="16">
        <f t="shared" si="166"/>
        <v>443188.893073042</v>
      </c>
      <c r="P1041" s="16">
        <f t="shared" si="167"/>
        <v>267263.733998131</v>
      </c>
      <c r="Q1041" s="16">
        <f t="shared" si="168"/>
        <v>9.96541786743516</v>
      </c>
      <c r="R1041" s="16">
        <f t="shared" si="169"/>
        <v>1.65824553314121</v>
      </c>
      <c r="S1041" s="16">
        <v>24</v>
      </c>
    </row>
    <row r="1042" spans="1:19">
      <c r="A1042" s="5" t="s">
        <v>772</v>
      </c>
      <c r="B1042" s="5">
        <v>108</v>
      </c>
      <c r="C1042" s="5">
        <v>4</v>
      </c>
      <c r="D1042" s="5">
        <v>864</v>
      </c>
      <c r="E1042" s="5">
        <v>339.113957</v>
      </c>
      <c r="F1042" s="5">
        <v>34.0290755</v>
      </c>
      <c r="G1042" s="5" t="s">
        <v>217</v>
      </c>
      <c r="H1042" s="5">
        <v>766.880032239562</v>
      </c>
      <c r="I1042" s="14">
        <f t="shared" si="160"/>
        <v>9160.88417786784</v>
      </c>
      <c r="J1042" s="15">
        <f t="shared" si="161"/>
        <v>1306.90254389335</v>
      </c>
      <c r="K1042" s="15">
        <f t="shared" si="162"/>
        <v>7853.98163397448</v>
      </c>
      <c r="L1042" s="15">
        <f t="shared" si="163"/>
        <v>0.142661179698217</v>
      </c>
      <c r="M1042" s="15">
        <f t="shared" si="164"/>
        <v>0.1664</v>
      </c>
      <c r="N1042" s="16">
        <f t="shared" si="165"/>
        <v>27</v>
      </c>
      <c r="O1042" s="16">
        <f t="shared" si="166"/>
        <v>443188.893073042</v>
      </c>
      <c r="P1042" s="16">
        <f t="shared" si="167"/>
        <v>267263.733998131</v>
      </c>
      <c r="Q1042" s="16">
        <f t="shared" si="168"/>
        <v>9.96541786743516</v>
      </c>
      <c r="R1042" s="16">
        <f t="shared" si="169"/>
        <v>1.65824553314121</v>
      </c>
      <c r="S1042" s="16">
        <v>32</v>
      </c>
    </row>
    <row r="1043" spans="1:19">
      <c r="A1043" s="5" t="s">
        <v>773</v>
      </c>
      <c r="B1043" s="5">
        <v>108</v>
      </c>
      <c r="C1043" s="5">
        <v>4</v>
      </c>
      <c r="D1043" s="5">
        <v>864</v>
      </c>
      <c r="E1043" s="5">
        <v>339.113957</v>
      </c>
      <c r="F1043" s="5">
        <v>34.0290755</v>
      </c>
      <c r="G1043" s="5" t="s">
        <v>217</v>
      </c>
      <c r="H1043" s="5">
        <v>802.183972342662</v>
      </c>
      <c r="I1043" s="14">
        <f t="shared" si="160"/>
        <v>9160.88417786784</v>
      </c>
      <c r="J1043" s="15">
        <f t="shared" si="161"/>
        <v>1306.90254389335</v>
      </c>
      <c r="K1043" s="15">
        <f t="shared" si="162"/>
        <v>7853.98163397448</v>
      </c>
      <c r="L1043" s="15">
        <f t="shared" si="163"/>
        <v>0.142661179698217</v>
      </c>
      <c r="M1043" s="15">
        <f t="shared" si="164"/>
        <v>0.1664</v>
      </c>
      <c r="N1043" s="16">
        <f t="shared" si="165"/>
        <v>27</v>
      </c>
      <c r="O1043" s="16">
        <f t="shared" si="166"/>
        <v>443188.893073042</v>
      </c>
      <c r="P1043" s="16">
        <f t="shared" si="167"/>
        <v>267263.733998131</v>
      </c>
      <c r="Q1043" s="16">
        <f t="shared" si="168"/>
        <v>9.96541786743516</v>
      </c>
      <c r="R1043" s="16">
        <f t="shared" si="169"/>
        <v>1.65824553314121</v>
      </c>
      <c r="S1043" s="16">
        <v>32</v>
      </c>
    </row>
    <row r="1044" spans="1:19">
      <c r="A1044" s="5" t="s">
        <v>774</v>
      </c>
      <c r="B1044" s="5">
        <v>108</v>
      </c>
      <c r="C1044" s="5">
        <v>4</v>
      </c>
      <c r="D1044" s="5">
        <v>864</v>
      </c>
      <c r="E1044" s="5">
        <v>339.113957</v>
      </c>
      <c r="F1044" s="5">
        <v>34.0290755</v>
      </c>
      <c r="G1044" s="5" t="s">
        <v>217</v>
      </c>
      <c r="H1044" s="5">
        <v>869.84985754027</v>
      </c>
      <c r="I1044" s="14">
        <f t="shared" si="160"/>
        <v>9160.88417786784</v>
      </c>
      <c r="J1044" s="15">
        <f t="shared" si="161"/>
        <v>1306.90254389335</v>
      </c>
      <c r="K1044" s="15">
        <f t="shared" si="162"/>
        <v>7853.98163397448</v>
      </c>
      <c r="L1044" s="15">
        <f t="shared" si="163"/>
        <v>0.142661179698217</v>
      </c>
      <c r="M1044" s="15">
        <f t="shared" si="164"/>
        <v>0.1664</v>
      </c>
      <c r="N1044" s="16">
        <f t="shared" si="165"/>
        <v>27</v>
      </c>
      <c r="O1044" s="16">
        <f t="shared" si="166"/>
        <v>443188.893073042</v>
      </c>
      <c r="P1044" s="16">
        <f t="shared" si="167"/>
        <v>267263.733998131</v>
      </c>
      <c r="Q1044" s="16">
        <f t="shared" si="168"/>
        <v>9.96541786743516</v>
      </c>
      <c r="R1044" s="16">
        <f t="shared" si="169"/>
        <v>1.65824553314121</v>
      </c>
      <c r="S1044" s="16">
        <v>32</v>
      </c>
    </row>
    <row r="1045" spans="1:19">
      <c r="A1045" s="5" t="s">
        <v>775</v>
      </c>
      <c r="B1045" s="5">
        <v>108</v>
      </c>
      <c r="C1045" s="5">
        <v>4</v>
      </c>
      <c r="D1045" s="5">
        <v>1080</v>
      </c>
      <c r="E1045" s="5">
        <v>339.113957</v>
      </c>
      <c r="F1045" s="5">
        <v>34.0290755</v>
      </c>
      <c r="G1045" s="5" t="s">
        <v>217</v>
      </c>
      <c r="H1045" s="5">
        <v>837.487912445762</v>
      </c>
      <c r="I1045" s="14">
        <f t="shared" si="160"/>
        <v>9160.88417786784</v>
      </c>
      <c r="J1045" s="15">
        <f t="shared" si="161"/>
        <v>1306.90254389335</v>
      </c>
      <c r="K1045" s="15">
        <f t="shared" si="162"/>
        <v>7853.98163397448</v>
      </c>
      <c r="L1045" s="15">
        <f t="shared" si="163"/>
        <v>0.142661179698217</v>
      </c>
      <c r="M1045" s="15">
        <f t="shared" si="164"/>
        <v>0.1664</v>
      </c>
      <c r="N1045" s="16">
        <f t="shared" si="165"/>
        <v>27</v>
      </c>
      <c r="O1045" s="16">
        <f t="shared" si="166"/>
        <v>443188.893073042</v>
      </c>
      <c r="P1045" s="16">
        <f t="shared" si="167"/>
        <v>267263.733998131</v>
      </c>
      <c r="Q1045" s="16">
        <f t="shared" si="168"/>
        <v>9.96541786743516</v>
      </c>
      <c r="R1045" s="16">
        <f t="shared" si="169"/>
        <v>1.65824553314121</v>
      </c>
      <c r="S1045" s="16">
        <v>40</v>
      </c>
    </row>
    <row r="1046" spans="1:19">
      <c r="A1046" s="5" t="s">
        <v>776</v>
      </c>
      <c r="B1046" s="5">
        <v>108</v>
      </c>
      <c r="C1046" s="5">
        <v>4</v>
      </c>
      <c r="D1046" s="5">
        <v>1080</v>
      </c>
      <c r="E1046" s="5">
        <v>339.113957</v>
      </c>
      <c r="F1046" s="5">
        <v>34.0290755</v>
      </c>
      <c r="G1046" s="5" t="s">
        <v>217</v>
      </c>
      <c r="H1046" s="5">
        <v>783.551337288248</v>
      </c>
      <c r="I1046" s="14">
        <f t="shared" si="160"/>
        <v>9160.88417786784</v>
      </c>
      <c r="J1046" s="15">
        <f t="shared" si="161"/>
        <v>1306.90254389335</v>
      </c>
      <c r="K1046" s="15">
        <f t="shared" si="162"/>
        <v>7853.98163397448</v>
      </c>
      <c r="L1046" s="15">
        <f t="shared" si="163"/>
        <v>0.142661179698217</v>
      </c>
      <c r="M1046" s="15">
        <f t="shared" si="164"/>
        <v>0.1664</v>
      </c>
      <c r="N1046" s="16">
        <f t="shared" si="165"/>
        <v>27</v>
      </c>
      <c r="O1046" s="16">
        <f t="shared" si="166"/>
        <v>443188.893073042</v>
      </c>
      <c r="P1046" s="16">
        <f t="shared" si="167"/>
        <v>267263.733998131</v>
      </c>
      <c r="Q1046" s="16">
        <f t="shared" si="168"/>
        <v>9.96541786743516</v>
      </c>
      <c r="R1046" s="16">
        <f t="shared" si="169"/>
        <v>1.65824553314121</v>
      </c>
      <c r="S1046" s="16">
        <v>40</v>
      </c>
    </row>
    <row r="1047" spans="1:19">
      <c r="A1047" s="5" t="s">
        <v>777</v>
      </c>
      <c r="B1047" s="5">
        <v>108</v>
      </c>
      <c r="C1047" s="5">
        <v>4</v>
      </c>
      <c r="D1047" s="5">
        <v>1620</v>
      </c>
      <c r="E1047" s="5">
        <v>339.113957</v>
      </c>
      <c r="F1047" s="5">
        <v>34.0290755</v>
      </c>
      <c r="G1047" s="5" t="s">
        <v>217</v>
      </c>
      <c r="H1047" s="5">
        <v>708.040132067729</v>
      </c>
      <c r="I1047" s="14">
        <f t="shared" si="160"/>
        <v>9160.88417786784</v>
      </c>
      <c r="J1047" s="15">
        <f t="shared" si="161"/>
        <v>1306.90254389335</v>
      </c>
      <c r="K1047" s="15">
        <f t="shared" si="162"/>
        <v>7853.98163397448</v>
      </c>
      <c r="L1047" s="15">
        <f t="shared" si="163"/>
        <v>0.142661179698217</v>
      </c>
      <c r="M1047" s="15">
        <f t="shared" si="164"/>
        <v>0.1664</v>
      </c>
      <c r="N1047" s="16">
        <f t="shared" si="165"/>
        <v>27</v>
      </c>
      <c r="O1047" s="16">
        <f t="shared" si="166"/>
        <v>443188.893073042</v>
      </c>
      <c r="P1047" s="16">
        <f t="shared" si="167"/>
        <v>267263.733998131</v>
      </c>
      <c r="Q1047" s="16">
        <f t="shared" si="168"/>
        <v>9.96541786743516</v>
      </c>
      <c r="R1047" s="16">
        <f t="shared" si="169"/>
        <v>1.65824553314121</v>
      </c>
      <c r="S1047" s="16">
        <v>60</v>
      </c>
    </row>
    <row r="1048" spans="1:19">
      <c r="A1048" s="5" t="s">
        <v>778</v>
      </c>
      <c r="B1048" s="5">
        <v>108</v>
      </c>
      <c r="C1048" s="5">
        <v>4</v>
      </c>
      <c r="D1048" s="5">
        <v>1620</v>
      </c>
      <c r="E1048" s="5">
        <v>339.113957</v>
      </c>
      <c r="F1048" s="5">
        <v>34.0290755</v>
      </c>
      <c r="G1048" s="5" t="s">
        <v>217</v>
      </c>
      <c r="H1048" s="5">
        <v>647.238901890167</v>
      </c>
      <c r="I1048" s="14">
        <f t="shared" si="160"/>
        <v>9160.88417786784</v>
      </c>
      <c r="J1048" s="15">
        <f t="shared" si="161"/>
        <v>1306.90254389335</v>
      </c>
      <c r="K1048" s="15">
        <f t="shared" si="162"/>
        <v>7853.98163397448</v>
      </c>
      <c r="L1048" s="15">
        <f t="shared" si="163"/>
        <v>0.142661179698217</v>
      </c>
      <c r="M1048" s="15">
        <f t="shared" si="164"/>
        <v>0.1664</v>
      </c>
      <c r="N1048" s="16">
        <f t="shared" si="165"/>
        <v>27</v>
      </c>
      <c r="O1048" s="16">
        <f t="shared" si="166"/>
        <v>443188.893073042</v>
      </c>
      <c r="P1048" s="16">
        <f t="shared" si="167"/>
        <v>267263.733998131</v>
      </c>
      <c r="Q1048" s="16">
        <f t="shared" si="168"/>
        <v>9.96541786743516</v>
      </c>
      <c r="R1048" s="16">
        <f t="shared" si="169"/>
        <v>1.65824553314121</v>
      </c>
      <c r="S1048" s="16">
        <v>60</v>
      </c>
    </row>
    <row r="1049" spans="1:19">
      <c r="A1049" s="5" t="s">
        <v>779</v>
      </c>
      <c r="B1049" s="5">
        <v>108</v>
      </c>
      <c r="C1049" s="5">
        <v>4</v>
      </c>
      <c r="D1049" s="5">
        <v>1620</v>
      </c>
      <c r="E1049" s="5">
        <v>339.113957</v>
      </c>
      <c r="F1049" s="5">
        <v>34.0290755</v>
      </c>
      <c r="G1049" s="5" t="s">
        <v>217</v>
      </c>
      <c r="H1049" s="5">
        <v>644.296906881576</v>
      </c>
      <c r="I1049" s="14">
        <f t="shared" si="160"/>
        <v>9160.88417786784</v>
      </c>
      <c r="J1049" s="15">
        <f t="shared" si="161"/>
        <v>1306.90254389335</v>
      </c>
      <c r="K1049" s="15">
        <f t="shared" si="162"/>
        <v>7853.98163397448</v>
      </c>
      <c r="L1049" s="15">
        <f t="shared" si="163"/>
        <v>0.142661179698217</v>
      </c>
      <c r="M1049" s="15">
        <f t="shared" si="164"/>
        <v>0.1664</v>
      </c>
      <c r="N1049" s="16">
        <f t="shared" si="165"/>
        <v>27</v>
      </c>
      <c r="O1049" s="16">
        <f t="shared" si="166"/>
        <v>443188.893073042</v>
      </c>
      <c r="P1049" s="16">
        <f t="shared" si="167"/>
        <v>267263.733998131</v>
      </c>
      <c r="Q1049" s="16">
        <f t="shared" si="168"/>
        <v>9.96541786743516</v>
      </c>
      <c r="R1049" s="16">
        <f t="shared" si="169"/>
        <v>1.65824553314121</v>
      </c>
      <c r="S1049" s="16">
        <v>60</v>
      </c>
    </row>
    <row r="1050" spans="1:19">
      <c r="A1050" s="5" t="s">
        <v>780</v>
      </c>
      <c r="B1050" s="5">
        <v>108</v>
      </c>
      <c r="C1050" s="5">
        <v>4</v>
      </c>
      <c r="D1050" s="5">
        <v>2160</v>
      </c>
      <c r="E1050" s="5">
        <v>339.113957</v>
      </c>
      <c r="F1050" s="5">
        <v>34.0290755</v>
      </c>
      <c r="G1050" s="5" t="s">
        <v>217</v>
      </c>
      <c r="H1050" s="5">
        <v>672.736191964628</v>
      </c>
      <c r="I1050" s="14">
        <f t="shared" si="160"/>
        <v>9160.88417786784</v>
      </c>
      <c r="J1050" s="15">
        <f t="shared" si="161"/>
        <v>1306.90254389335</v>
      </c>
      <c r="K1050" s="15">
        <f t="shared" si="162"/>
        <v>7853.98163397448</v>
      </c>
      <c r="L1050" s="15">
        <f t="shared" si="163"/>
        <v>0.142661179698217</v>
      </c>
      <c r="M1050" s="15">
        <f t="shared" si="164"/>
        <v>0.1664</v>
      </c>
      <c r="N1050" s="16">
        <f t="shared" si="165"/>
        <v>27</v>
      </c>
      <c r="O1050" s="16">
        <f t="shared" si="166"/>
        <v>443188.893073042</v>
      </c>
      <c r="P1050" s="16">
        <f t="shared" si="167"/>
        <v>267263.733998131</v>
      </c>
      <c r="Q1050" s="16">
        <f t="shared" si="168"/>
        <v>9.96541786743516</v>
      </c>
      <c r="R1050" s="16">
        <f t="shared" si="169"/>
        <v>1.65824553314121</v>
      </c>
      <c r="S1050" s="16">
        <v>80</v>
      </c>
    </row>
    <row r="1051" spans="1:19">
      <c r="A1051" s="5" t="s">
        <v>781</v>
      </c>
      <c r="B1051" s="5">
        <v>108</v>
      </c>
      <c r="C1051" s="5">
        <v>4</v>
      </c>
      <c r="D1051" s="5">
        <v>2160</v>
      </c>
      <c r="E1051" s="5">
        <v>339.113957</v>
      </c>
      <c r="F1051" s="5">
        <v>34.0290755</v>
      </c>
      <c r="G1051" s="5" t="s">
        <v>217</v>
      </c>
      <c r="H1051" s="5">
        <v>698.23348203909</v>
      </c>
      <c r="I1051" s="14">
        <f t="shared" si="160"/>
        <v>9160.88417786784</v>
      </c>
      <c r="J1051" s="15">
        <f t="shared" si="161"/>
        <v>1306.90254389335</v>
      </c>
      <c r="K1051" s="15">
        <f t="shared" si="162"/>
        <v>7853.98163397448</v>
      </c>
      <c r="L1051" s="15">
        <f t="shared" si="163"/>
        <v>0.142661179698217</v>
      </c>
      <c r="M1051" s="15">
        <f t="shared" si="164"/>
        <v>0.1664</v>
      </c>
      <c r="N1051" s="16">
        <f t="shared" si="165"/>
        <v>27</v>
      </c>
      <c r="O1051" s="16">
        <f t="shared" si="166"/>
        <v>443188.893073042</v>
      </c>
      <c r="P1051" s="16">
        <f t="shared" si="167"/>
        <v>267263.733998131</v>
      </c>
      <c r="Q1051" s="16">
        <f t="shared" si="168"/>
        <v>9.96541786743516</v>
      </c>
      <c r="R1051" s="16">
        <f t="shared" si="169"/>
        <v>1.65824553314121</v>
      </c>
      <c r="S1051" s="16">
        <v>80</v>
      </c>
    </row>
    <row r="1052" spans="1:19">
      <c r="A1052" s="5" t="s">
        <v>782</v>
      </c>
      <c r="B1052" s="5">
        <v>108</v>
      </c>
      <c r="C1052" s="5">
        <v>4</v>
      </c>
      <c r="D1052" s="5">
        <v>2160</v>
      </c>
      <c r="E1052" s="5">
        <v>339.113957</v>
      </c>
      <c r="F1052" s="5">
        <v>34.0290755</v>
      </c>
      <c r="G1052" s="5" t="s">
        <v>217</v>
      </c>
      <c r="H1052" s="5">
        <v>676.658851976084</v>
      </c>
      <c r="I1052" s="14">
        <f t="shared" si="160"/>
        <v>9160.88417786784</v>
      </c>
      <c r="J1052" s="15">
        <f t="shared" si="161"/>
        <v>1306.90254389335</v>
      </c>
      <c r="K1052" s="15">
        <f t="shared" si="162"/>
        <v>7853.98163397448</v>
      </c>
      <c r="L1052" s="15">
        <f t="shared" si="163"/>
        <v>0.142661179698217</v>
      </c>
      <c r="M1052" s="15">
        <f t="shared" si="164"/>
        <v>0.1664</v>
      </c>
      <c r="N1052" s="16">
        <f t="shared" si="165"/>
        <v>27</v>
      </c>
      <c r="O1052" s="16">
        <f t="shared" si="166"/>
        <v>443188.893073042</v>
      </c>
      <c r="P1052" s="16">
        <f t="shared" si="167"/>
        <v>267263.733998131</v>
      </c>
      <c r="Q1052" s="16">
        <f t="shared" si="168"/>
        <v>9.96541786743516</v>
      </c>
      <c r="R1052" s="16">
        <f t="shared" si="169"/>
        <v>1.65824553314121</v>
      </c>
      <c r="S1052" s="16">
        <v>80</v>
      </c>
    </row>
    <row r="1053" spans="1:19">
      <c r="A1053" s="5" t="s">
        <v>783</v>
      </c>
      <c r="B1053" s="5">
        <v>108</v>
      </c>
      <c r="C1053" s="5">
        <v>4</v>
      </c>
      <c r="D1053" s="5">
        <v>2700</v>
      </c>
      <c r="E1053" s="5">
        <v>339.113957</v>
      </c>
      <c r="F1053" s="5">
        <v>34.0290755</v>
      </c>
      <c r="G1053" s="5" t="s">
        <v>217</v>
      </c>
      <c r="H1053" s="5">
        <v>649.200231895895</v>
      </c>
      <c r="I1053" s="14">
        <f t="shared" si="160"/>
        <v>9160.88417786784</v>
      </c>
      <c r="J1053" s="15">
        <f t="shared" si="161"/>
        <v>1306.90254389335</v>
      </c>
      <c r="K1053" s="15">
        <f t="shared" si="162"/>
        <v>7853.98163397448</v>
      </c>
      <c r="L1053" s="15">
        <f t="shared" si="163"/>
        <v>0.142661179698217</v>
      </c>
      <c r="M1053" s="15">
        <f t="shared" si="164"/>
        <v>0.1664</v>
      </c>
      <c r="N1053" s="16">
        <f t="shared" si="165"/>
        <v>27</v>
      </c>
      <c r="O1053" s="16">
        <f t="shared" si="166"/>
        <v>443188.893073042</v>
      </c>
      <c r="P1053" s="16">
        <f t="shared" si="167"/>
        <v>267263.733998131</v>
      </c>
      <c r="Q1053" s="16">
        <f t="shared" si="168"/>
        <v>9.96541786743516</v>
      </c>
      <c r="R1053" s="16">
        <f t="shared" si="169"/>
        <v>1.65824553314121</v>
      </c>
      <c r="S1053" s="16">
        <v>100</v>
      </c>
    </row>
    <row r="1054" spans="1:19">
      <c r="A1054" s="5" t="s">
        <v>784</v>
      </c>
      <c r="B1054" s="5">
        <v>108</v>
      </c>
      <c r="C1054" s="5">
        <v>4</v>
      </c>
      <c r="D1054" s="5">
        <v>3240</v>
      </c>
      <c r="E1054" s="5">
        <v>339.113957</v>
      </c>
      <c r="F1054" s="5">
        <v>34.0290755</v>
      </c>
      <c r="G1054" s="5" t="s">
        <v>217</v>
      </c>
      <c r="H1054" s="5">
        <v>559.959716635281</v>
      </c>
      <c r="I1054" s="14">
        <f t="shared" si="160"/>
        <v>9160.88417786784</v>
      </c>
      <c r="J1054" s="15">
        <f t="shared" si="161"/>
        <v>1306.90254389335</v>
      </c>
      <c r="K1054" s="15">
        <f t="shared" si="162"/>
        <v>7853.98163397448</v>
      </c>
      <c r="L1054" s="15">
        <f t="shared" si="163"/>
        <v>0.142661179698217</v>
      </c>
      <c r="M1054" s="15">
        <f t="shared" si="164"/>
        <v>0.1664</v>
      </c>
      <c r="N1054" s="16">
        <f t="shared" si="165"/>
        <v>27</v>
      </c>
      <c r="O1054" s="16">
        <f t="shared" si="166"/>
        <v>443188.893073042</v>
      </c>
      <c r="P1054" s="16">
        <f t="shared" si="167"/>
        <v>267263.733998131</v>
      </c>
      <c r="Q1054" s="16">
        <f t="shared" si="168"/>
        <v>9.96541786743516</v>
      </c>
      <c r="R1054" s="16">
        <f t="shared" si="169"/>
        <v>1.65824553314121</v>
      </c>
      <c r="S1054" s="16">
        <v>120</v>
      </c>
    </row>
    <row r="1055" spans="1:19">
      <c r="A1055" s="5" t="s">
        <v>785</v>
      </c>
      <c r="B1055" s="5">
        <v>108</v>
      </c>
      <c r="C1055" s="5">
        <v>4</v>
      </c>
      <c r="D1055" s="5">
        <v>3240</v>
      </c>
      <c r="E1055" s="5">
        <v>339.113957</v>
      </c>
      <c r="F1055" s="5">
        <v>34.0290755</v>
      </c>
      <c r="G1055" s="5" t="s">
        <v>217</v>
      </c>
      <c r="H1055" s="5">
        <v>478.564521397578</v>
      </c>
      <c r="I1055" s="14">
        <f t="shared" si="160"/>
        <v>9160.88417786784</v>
      </c>
      <c r="J1055" s="15">
        <f t="shared" si="161"/>
        <v>1306.90254389335</v>
      </c>
      <c r="K1055" s="15">
        <f t="shared" si="162"/>
        <v>7853.98163397448</v>
      </c>
      <c r="L1055" s="15">
        <f t="shared" si="163"/>
        <v>0.142661179698217</v>
      </c>
      <c r="M1055" s="15">
        <f t="shared" si="164"/>
        <v>0.1664</v>
      </c>
      <c r="N1055" s="16">
        <f t="shared" si="165"/>
        <v>27</v>
      </c>
      <c r="O1055" s="16">
        <f t="shared" si="166"/>
        <v>443188.893073042</v>
      </c>
      <c r="P1055" s="16">
        <f t="shared" si="167"/>
        <v>267263.733998131</v>
      </c>
      <c r="Q1055" s="16">
        <f t="shared" si="168"/>
        <v>9.96541786743516</v>
      </c>
      <c r="R1055" s="16">
        <f t="shared" si="169"/>
        <v>1.65824553314121</v>
      </c>
      <c r="S1055" s="16">
        <v>120</v>
      </c>
    </row>
    <row r="1056" spans="1:19">
      <c r="A1056" s="5" t="s">
        <v>786</v>
      </c>
      <c r="B1056" s="5">
        <v>108</v>
      </c>
      <c r="C1056" s="5">
        <v>4</v>
      </c>
      <c r="D1056" s="5">
        <v>3240</v>
      </c>
      <c r="E1056" s="5">
        <v>339.113957</v>
      </c>
      <c r="F1056" s="5">
        <v>34.0290755</v>
      </c>
      <c r="G1056" s="5" t="s">
        <v>217</v>
      </c>
      <c r="H1056" s="5">
        <v>601.147646755565</v>
      </c>
      <c r="I1056" s="14">
        <f t="shared" si="160"/>
        <v>9160.88417786784</v>
      </c>
      <c r="J1056" s="15">
        <f t="shared" si="161"/>
        <v>1306.90254389335</v>
      </c>
      <c r="K1056" s="15">
        <f t="shared" si="162"/>
        <v>7853.98163397448</v>
      </c>
      <c r="L1056" s="15">
        <f t="shared" si="163"/>
        <v>0.142661179698217</v>
      </c>
      <c r="M1056" s="15">
        <f t="shared" si="164"/>
        <v>0.1664</v>
      </c>
      <c r="N1056" s="16">
        <f t="shared" si="165"/>
        <v>27</v>
      </c>
      <c r="O1056" s="16">
        <f t="shared" si="166"/>
        <v>443188.893073042</v>
      </c>
      <c r="P1056" s="16">
        <f t="shared" si="167"/>
        <v>267263.733998131</v>
      </c>
      <c r="Q1056" s="16">
        <f t="shared" si="168"/>
        <v>9.96541786743516</v>
      </c>
      <c r="R1056" s="16">
        <f t="shared" si="169"/>
        <v>1.65824553314121</v>
      </c>
      <c r="S1056" s="16">
        <v>120</v>
      </c>
    </row>
    <row r="1057" spans="1:19">
      <c r="A1057" s="5" t="s">
        <v>787</v>
      </c>
      <c r="B1057" s="5">
        <v>108</v>
      </c>
      <c r="C1057" s="5">
        <v>4</v>
      </c>
      <c r="D1057" s="5">
        <v>4320</v>
      </c>
      <c r="E1057" s="5">
        <v>339.113957</v>
      </c>
      <c r="F1057" s="5">
        <v>34.0290755</v>
      </c>
      <c r="G1057" s="5" t="s">
        <v>217</v>
      </c>
      <c r="H1057" s="5">
        <v>373.633366091142</v>
      </c>
      <c r="I1057" s="14">
        <f t="shared" si="160"/>
        <v>9160.88417786784</v>
      </c>
      <c r="J1057" s="15">
        <f t="shared" si="161"/>
        <v>1306.90254389335</v>
      </c>
      <c r="K1057" s="15">
        <f t="shared" si="162"/>
        <v>7853.98163397448</v>
      </c>
      <c r="L1057" s="15">
        <f t="shared" si="163"/>
        <v>0.142661179698217</v>
      </c>
      <c r="M1057" s="15">
        <f t="shared" si="164"/>
        <v>0.1664</v>
      </c>
      <c r="N1057" s="16">
        <f t="shared" si="165"/>
        <v>27</v>
      </c>
      <c r="O1057" s="16">
        <f t="shared" si="166"/>
        <v>443188.893073042</v>
      </c>
      <c r="P1057" s="16">
        <f t="shared" si="167"/>
        <v>267263.733998131</v>
      </c>
      <c r="Q1057" s="16">
        <f t="shared" si="168"/>
        <v>9.96541786743516</v>
      </c>
      <c r="R1057" s="16">
        <f t="shared" si="169"/>
        <v>1.65824553314121</v>
      </c>
      <c r="S1057" s="16">
        <v>160</v>
      </c>
    </row>
    <row r="1058" spans="1:19">
      <c r="A1058" s="5" t="s">
        <v>788</v>
      </c>
      <c r="B1058" s="5">
        <v>108</v>
      </c>
      <c r="C1058" s="5">
        <v>4</v>
      </c>
      <c r="D1058" s="5">
        <v>4320</v>
      </c>
      <c r="E1058" s="5">
        <v>339.113957</v>
      </c>
      <c r="F1058" s="5">
        <v>34.0290755</v>
      </c>
      <c r="G1058" s="5" t="s">
        <v>217</v>
      </c>
      <c r="H1058" s="5">
        <v>343.232751002362</v>
      </c>
      <c r="I1058" s="14">
        <f t="shared" si="160"/>
        <v>9160.88417786784</v>
      </c>
      <c r="J1058" s="15">
        <f t="shared" si="161"/>
        <v>1306.90254389335</v>
      </c>
      <c r="K1058" s="15">
        <f t="shared" si="162"/>
        <v>7853.98163397448</v>
      </c>
      <c r="L1058" s="15">
        <f t="shared" si="163"/>
        <v>0.142661179698217</v>
      </c>
      <c r="M1058" s="15">
        <f t="shared" si="164"/>
        <v>0.1664</v>
      </c>
      <c r="N1058" s="16">
        <f t="shared" si="165"/>
        <v>27</v>
      </c>
      <c r="O1058" s="16">
        <f t="shared" si="166"/>
        <v>443188.893073042</v>
      </c>
      <c r="P1058" s="16">
        <f t="shared" si="167"/>
        <v>267263.733998131</v>
      </c>
      <c r="Q1058" s="16">
        <f t="shared" si="168"/>
        <v>9.96541786743516</v>
      </c>
      <c r="R1058" s="16">
        <f t="shared" si="169"/>
        <v>1.65824553314121</v>
      </c>
      <c r="S1058" s="16">
        <v>160</v>
      </c>
    </row>
    <row r="1059" spans="1:19">
      <c r="A1059" s="5" t="s">
        <v>789</v>
      </c>
      <c r="B1059" s="5">
        <v>108</v>
      </c>
      <c r="C1059" s="5">
        <v>4</v>
      </c>
      <c r="D1059" s="5">
        <v>4320</v>
      </c>
      <c r="E1059" s="5">
        <v>339.113957</v>
      </c>
      <c r="F1059" s="5">
        <v>34.0290755</v>
      </c>
      <c r="G1059" s="5" t="s">
        <v>217</v>
      </c>
      <c r="H1059" s="5">
        <v>294.199500859167</v>
      </c>
      <c r="I1059" s="14">
        <f t="shared" si="160"/>
        <v>9160.88417786784</v>
      </c>
      <c r="J1059" s="15">
        <f t="shared" si="161"/>
        <v>1306.90254389335</v>
      </c>
      <c r="K1059" s="15">
        <f t="shared" si="162"/>
        <v>7853.98163397448</v>
      </c>
      <c r="L1059" s="15">
        <f t="shared" si="163"/>
        <v>0.142661179698217</v>
      </c>
      <c r="M1059" s="15">
        <f t="shared" si="164"/>
        <v>0.1664</v>
      </c>
      <c r="N1059" s="16">
        <f t="shared" si="165"/>
        <v>27</v>
      </c>
      <c r="O1059" s="16">
        <f t="shared" si="166"/>
        <v>443188.893073042</v>
      </c>
      <c r="P1059" s="16">
        <f t="shared" si="167"/>
        <v>267263.733998131</v>
      </c>
      <c r="Q1059" s="16">
        <f t="shared" si="168"/>
        <v>9.96541786743516</v>
      </c>
      <c r="R1059" s="16">
        <f t="shared" si="169"/>
        <v>1.65824553314121</v>
      </c>
      <c r="S1059" s="16">
        <v>160</v>
      </c>
    </row>
    <row r="1060" spans="1:19">
      <c r="A1060" s="5" t="s">
        <v>790</v>
      </c>
      <c r="B1060" s="5">
        <v>108</v>
      </c>
      <c r="C1060" s="5">
        <v>4</v>
      </c>
      <c r="D1060" s="5">
        <v>5400</v>
      </c>
      <c r="E1060" s="5">
        <v>339.113957</v>
      </c>
      <c r="F1060" s="5">
        <v>34.0290755</v>
      </c>
      <c r="G1060" s="5" t="s">
        <v>217</v>
      </c>
      <c r="H1060" s="5">
        <v>225.552950658695</v>
      </c>
      <c r="I1060" s="14">
        <f t="shared" si="160"/>
        <v>9160.88417786784</v>
      </c>
      <c r="J1060" s="15">
        <f t="shared" si="161"/>
        <v>1306.90254389335</v>
      </c>
      <c r="K1060" s="15">
        <f t="shared" si="162"/>
        <v>7853.98163397448</v>
      </c>
      <c r="L1060" s="15">
        <f t="shared" si="163"/>
        <v>0.142661179698217</v>
      </c>
      <c r="M1060" s="15">
        <f t="shared" si="164"/>
        <v>0.1664</v>
      </c>
      <c r="N1060" s="16">
        <f t="shared" si="165"/>
        <v>27</v>
      </c>
      <c r="O1060" s="16">
        <f t="shared" si="166"/>
        <v>443188.893073042</v>
      </c>
      <c r="P1060" s="16">
        <f t="shared" si="167"/>
        <v>267263.733998131</v>
      </c>
      <c r="Q1060" s="16">
        <f t="shared" si="168"/>
        <v>9.96541786743516</v>
      </c>
      <c r="R1060" s="16">
        <f t="shared" si="169"/>
        <v>1.65824553314121</v>
      </c>
      <c r="S1060" s="16">
        <v>200</v>
      </c>
    </row>
    <row r="1061" spans="1:19">
      <c r="A1061" s="5" t="s">
        <v>791</v>
      </c>
      <c r="B1061" s="5">
        <v>108</v>
      </c>
      <c r="C1061" s="5">
        <v>4</v>
      </c>
      <c r="D1061" s="5">
        <v>5400</v>
      </c>
      <c r="E1061" s="5">
        <v>339.113957</v>
      </c>
      <c r="F1061" s="5">
        <v>34.0290755</v>
      </c>
      <c r="G1061" s="5" t="s">
        <v>217</v>
      </c>
      <c r="H1061" s="5">
        <v>210.842975615736</v>
      </c>
      <c r="I1061" s="14">
        <f t="shared" si="160"/>
        <v>9160.88417786784</v>
      </c>
      <c r="J1061" s="15">
        <f t="shared" si="161"/>
        <v>1306.90254389335</v>
      </c>
      <c r="K1061" s="15">
        <f t="shared" si="162"/>
        <v>7853.98163397448</v>
      </c>
      <c r="L1061" s="15">
        <f t="shared" si="163"/>
        <v>0.142661179698217</v>
      </c>
      <c r="M1061" s="15">
        <f t="shared" si="164"/>
        <v>0.1664</v>
      </c>
      <c r="N1061" s="16">
        <f t="shared" si="165"/>
        <v>27</v>
      </c>
      <c r="O1061" s="16">
        <f t="shared" si="166"/>
        <v>443188.893073042</v>
      </c>
      <c r="P1061" s="16">
        <f t="shared" si="167"/>
        <v>267263.733998131</v>
      </c>
      <c r="Q1061" s="16">
        <f t="shared" si="168"/>
        <v>9.96541786743516</v>
      </c>
      <c r="R1061" s="16">
        <f t="shared" si="169"/>
        <v>1.65824553314121</v>
      </c>
      <c r="S1061" s="16">
        <v>200</v>
      </c>
    </row>
    <row r="1062" spans="1:19">
      <c r="A1062" s="5" t="s">
        <v>792</v>
      </c>
      <c r="B1062" s="5">
        <v>108</v>
      </c>
      <c r="C1062" s="5">
        <v>4</v>
      </c>
      <c r="D1062" s="5">
        <v>5400</v>
      </c>
      <c r="E1062" s="5">
        <v>339.113957</v>
      </c>
      <c r="F1062" s="5">
        <v>34.0290755</v>
      </c>
      <c r="G1062" s="5" t="s">
        <v>217</v>
      </c>
      <c r="H1062" s="5">
        <v>212.804305621464</v>
      </c>
      <c r="I1062" s="14">
        <f t="shared" si="160"/>
        <v>9160.88417786784</v>
      </c>
      <c r="J1062" s="15">
        <f t="shared" si="161"/>
        <v>1306.90254389335</v>
      </c>
      <c r="K1062" s="15">
        <f t="shared" si="162"/>
        <v>7853.98163397448</v>
      </c>
      <c r="L1062" s="15">
        <f t="shared" si="163"/>
        <v>0.142661179698217</v>
      </c>
      <c r="M1062" s="15">
        <f t="shared" si="164"/>
        <v>0.1664</v>
      </c>
      <c r="N1062" s="16">
        <f t="shared" si="165"/>
        <v>27</v>
      </c>
      <c r="O1062" s="16">
        <f t="shared" si="166"/>
        <v>443188.893073042</v>
      </c>
      <c r="P1062" s="16">
        <f t="shared" si="167"/>
        <v>267263.733998131</v>
      </c>
      <c r="Q1062" s="16">
        <f t="shared" si="168"/>
        <v>9.96541786743516</v>
      </c>
      <c r="R1062" s="16">
        <f t="shared" si="169"/>
        <v>1.65824553314121</v>
      </c>
      <c r="S1062" s="16">
        <v>200</v>
      </c>
    </row>
    <row r="1063" spans="1:19">
      <c r="A1063" s="5" t="s">
        <v>793</v>
      </c>
      <c r="B1063" s="5">
        <v>150</v>
      </c>
      <c r="C1063" s="5">
        <v>0.7</v>
      </c>
      <c r="D1063" s="5">
        <v>800</v>
      </c>
      <c r="E1063" s="5">
        <v>245.16625</v>
      </c>
      <c r="F1063" s="5">
        <v>22.555295</v>
      </c>
      <c r="G1063" s="5"/>
      <c r="H1063" s="5">
        <v>513.868461500678</v>
      </c>
      <c r="I1063" s="14">
        <f t="shared" si="160"/>
        <v>17671.4586764426</v>
      </c>
      <c r="J1063" s="15">
        <f t="shared" si="161"/>
        <v>328.32784822667</v>
      </c>
      <c r="K1063" s="15">
        <f t="shared" si="162"/>
        <v>17343.1308282159</v>
      </c>
      <c r="L1063" s="15">
        <f t="shared" si="163"/>
        <v>0.0185795555555556</v>
      </c>
      <c r="M1063" s="15">
        <f t="shared" si="164"/>
        <v>0.018931290519501</v>
      </c>
      <c r="N1063" s="16">
        <f t="shared" si="165"/>
        <v>214.285714285714</v>
      </c>
      <c r="O1063" s="16">
        <f t="shared" si="166"/>
        <v>80494.9073203018</v>
      </c>
      <c r="P1063" s="16">
        <f t="shared" si="167"/>
        <v>391179.432054004</v>
      </c>
      <c r="Q1063" s="16">
        <f t="shared" si="168"/>
        <v>10.8695652173913</v>
      </c>
      <c r="R1063" s="16">
        <f t="shared" si="169"/>
        <v>0.205774896951098</v>
      </c>
      <c r="S1063" s="16">
        <v>21.3333333333333</v>
      </c>
    </row>
    <row r="1064" spans="1:19">
      <c r="A1064" s="5" t="s">
        <v>794</v>
      </c>
      <c r="B1064" s="5">
        <v>150</v>
      </c>
      <c r="C1064" s="5">
        <v>1.4</v>
      </c>
      <c r="D1064" s="5">
        <v>800</v>
      </c>
      <c r="E1064" s="5">
        <v>245.16625</v>
      </c>
      <c r="F1064" s="5">
        <v>22.555295</v>
      </c>
      <c r="G1064" s="5"/>
      <c r="H1064" s="5">
        <v>697.252817036226</v>
      </c>
      <c r="I1064" s="14">
        <f t="shared" si="160"/>
        <v>17671.4586764426</v>
      </c>
      <c r="J1064" s="15">
        <f t="shared" si="161"/>
        <v>653.576935652823</v>
      </c>
      <c r="K1064" s="15">
        <f t="shared" si="162"/>
        <v>17017.8817407898</v>
      </c>
      <c r="L1064" s="15">
        <f t="shared" si="163"/>
        <v>0.036984888888889</v>
      </c>
      <c r="M1064" s="15">
        <f t="shared" si="164"/>
        <v>0.038405304820416</v>
      </c>
      <c r="N1064" s="16">
        <f t="shared" si="165"/>
        <v>107.142857142857</v>
      </c>
      <c r="O1064" s="16">
        <f t="shared" si="166"/>
        <v>160235.006400494</v>
      </c>
      <c r="P1064" s="16">
        <f t="shared" si="167"/>
        <v>383843.342938627</v>
      </c>
      <c r="Q1064" s="16">
        <f t="shared" si="168"/>
        <v>10.8695652173913</v>
      </c>
      <c r="R1064" s="16">
        <f t="shared" si="169"/>
        <v>0.417448965439305</v>
      </c>
      <c r="S1064" s="16">
        <v>21.3333333333333</v>
      </c>
    </row>
    <row r="1065" spans="1:19">
      <c r="A1065" s="5" t="s">
        <v>795</v>
      </c>
      <c r="B1065" s="5">
        <v>150</v>
      </c>
      <c r="C1065" s="5">
        <v>2.1</v>
      </c>
      <c r="D1065" s="5">
        <v>800</v>
      </c>
      <c r="E1065" s="5">
        <v>245.16625</v>
      </c>
      <c r="F1065" s="5">
        <v>22.555295</v>
      </c>
      <c r="G1065" s="5"/>
      <c r="H1065" s="5">
        <v>787.473997299704</v>
      </c>
      <c r="I1065" s="14">
        <f t="shared" si="160"/>
        <v>17671.4586764426</v>
      </c>
      <c r="J1065" s="15">
        <f t="shared" si="161"/>
        <v>975.747262278451</v>
      </c>
      <c r="K1065" s="15">
        <f t="shared" si="162"/>
        <v>16695.7114141641</v>
      </c>
      <c r="L1065" s="15">
        <f t="shared" si="163"/>
        <v>0.0552159999999999</v>
      </c>
      <c r="M1065" s="15">
        <f t="shared" si="164"/>
        <v>0.0584429880268928</v>
      </c>
      <c r="N1065" s="16">
        <f t="shared" si="165"/>
        <v>71.4285714285714</v>
      </c>
      <c r="O1065" s="16">
        <f t="shared" si="166"/>
        <v>239220.297240574</v>
      </c>
      <c r="P1065" s="16">
        <f t="shared" si="167"/>
        <v>376576.696181339</v>
      </c>
      <c r="Q1065" s="16">
        <f t="shared" si="168"/>
        <v>10.8695652173913</v>
      </c>
      <c r="R1065" s="16">
        <f t="shared" si="169"/>
        <v>0.63524986985753</v>
      </c>
      <c r="S1065" s="16">
        <v>21.3333333333333</v>
      </c>
    </row>
    <row r="1066" spans="1:19">
      <c r="A1066" s="5" t="s">
        <v>796</v>
      </c>
      <c r="B1066" s="5">
        <v>150</v>
      </c>
      <c r="C1066" s="5">
        <v>2.1</v>
      </c>
      <c r="D1066" s="5">
        <v>800</v>
      </c>
      <c r="E1066" s="5">
        <v>245.16625</v>
      </c>
      <c r="F1066" s="5">
        <v>35.30394</v>
      </c>
      <c r="G1066" s="5"/>
      <c r="H1066" s="5">
        <v>1073.82817813596</v>
      </c>
      <c r="I1066" s="14">
        <f t="shared" si="160"/>
        <v>17671.4586764426</v>
      </c>
      <c r="J1066" s="15">
        <f t="shared" si="161"/>
        <v>975.747262278451</v>
      </c>
      <c r="K1066" s="15">
        <f t="shared" si="162"/>
        <v>16695.7114141641</v>
      </c>
      <c r="L1066" s="15">
        <f t="shared" si="163"/>
        <v>0.0552159999999999</v>
      </c>
      <c r="M1066" s="15">
        <f t="shared" si="164"/>
        <v>0.0584429880268928</v>
      </c>
      <c r="N1066" s="16">
        <f t="shared" si="165"/>
        <v>71.4285714285714</v>
      </c>
      <c r="O1066" s="16">
        <f t="shared" si="166"/>
        <v>239220.297240574</v>
      </c>
      <c r="P1066" s="16">
        <f t="shared" si="167"/>
        <v>589424.394022966</v>
      </c>
      <c r="Q1066" s="16">
        <f t="shared" si="168"/>
        <v>6.94444444444444</v>
      </c>
      <c r="R1066" s="16">
        <f t="shared" si="169"/>
        <v>0.405854083520089</v>
      </c>
      <c r="S1066" s="16">
        <v>21.3333333333333</v>
      </c>
    </row>
    <row r="1067" spans="1:19">
      <c r="A1067" s="5" t="s">
        <v>797</v>
      </c>
      <c r="B1067" s="5">
        <v>190.7</v>
      </c>
      <c r="C1067" s="5">
        <v>6</v>
      </c>
      <c r="D1067" s="5">
        <v>1150</v>
      </c>
      <c r="E1067" s="5">
        <v>505.042475</v>
      </c>
      <c r="F1067" s="5">
        <v>55.897905</v>
      </c>
      <c r="G1067" s="5" t="s">
        <v>20</v>
      </c>
      <c r="H1067" s="5">
        <v>3062.61680394393</v>
      </c>
      <c r="I1067" s="14">
        <f t="shared" si="160"/>
        <v>28562.1744552117</v>
      </c>
      <c r="J1067" s="15">
        <f t="shared" si="161"/>
        <v>3481.51297870821</v>
      </c>
      <c r="K1067" s="15">
        <f t="shared" si="162"/>
        <v>25080.6614765035</v>
      </c>
      <c r="L1067" s="15">
        <f t="shared" si="163"/>
        <v>0.121892434491203</v>
      </c>
      <c r="M1067" s="15">
        <f t="shared" si="164"/>
        <v>0.13881264582953</v>
      </c>
      <c r="N1067" s="16">
        <f t="shared" si="165"/>
        <v>31.7833333333333</v>
      </c>
      <c r="O1067" s="16">
        <f t="shared" si="166"/>
        <v>1758311.93151142</v>
      </c>
      <c r="P1067" s="16">
        <f t="shared" si="167"/>
        <v>1401956.43255075</v>
      </c>
      <c r="Q1067" s="16">
        <f t="shared" si="168"/>
        <v>9.03508771929825</v>
      </c>
      <c r="R1067" s="16">
        <f t="shared" si="169"/>
        <v>1.25418443161768</v>
      </c>
      <c r="S1067" s="16">
        <v>24.1216570529628</v>
      </c>
    </row>
    <row r="1068" spans="1:19">
      <c r="A1068" s="5" t="s">
        <v>798</v>
      </c>
      <c r="B1068" s="5">
        <v>190.7</v>
      </c>
      <c r="C1068" s="5">
        <v>6</v>
      </c>
      <c r="D1068" s="5">
        <v>2300</v>
      </c>
      <c r="E1068" s="5">
        <v>505.042475</v>
      </c>
      <c r="F1068" s="5">
        <v>55.897905</v>
      </c>
      <c r="G1068" s="5" t="s">
        <v>20</v>
      </c>
      <c r="H1068" s="5">
        <v>2611.51090262654</v>
      </c>
      <c r="I1068" s="14">
        <f t="shared" si="160"/>
        <v>28562.1744552117</v>
      </c>
      <c r="J1068" s="15">
        <f t="shared" si="161"/>
        <v>3481.51297870821</v>
      </c>
      <c r="K1068" s="15">
        <f t="shared" si="162"/>
        <v>25080.6614765035</v>
      </c>
      <c r="L1068" s="15">
        <f t="shared" si="163"/>
        <v>0.121892434491203</v>
      </c>
      <c r="M1068" s="15">
        <f t="shared" si="164"/>
        <v>0.13881264582953</v>
      </c>
      <c r="N1068" s="16">
        <f t="shared" si="165"/>
        <v>31.7833333333333</v>
      </c>
      <c r="O1068" s="16">
        <f t="shared" si="166"/>
        <v>1758311.93151142</v>
      </c>
      <c r="P1068" s="16">
        <f t="shared" si="167"/>
        <v>1401956.43255075</v>
      </c>
      <c r="Q1068" s="16">
        <f t="shared" si="168"/>
        <v>9.03508771929825</v>
      </c>
      <c r="R1068" s="16">
        <f t="shared" si="169"/>
        <v>1.25418443161768</v>
      </c>
      <c r="S1068" s="16">
        <v>48.2433141059255</v>
      </c>
    </row>
    <row r="1069" spans="1:19">
      <c r="A1069" s="5" t="s">
        <v>799</v>
      </c>
      <c r="B1069" s="5">
        <v>190.7</v>
      </c>
      <c r="C1069" s="5">
        <v>6</v>
      </c>
      <c r="D1069" s="5">
        <v>3450</v>
      </c>
      <c r="E1069" s="5">
        <v>505.042475</v>
      </c>
      <c r="F1069" s="5">
        <v>55.897905</v>
      </c>
      <c r="G1069" s="5" t="s">
        <v>20</v>
      </c>
      <c r="H1069" s="5">
        <v>2059.39650601417</v>
      </c>
      <c r="I1069" s="14">
        <f t="shared" si="160"/>
        <v>28562.1744552117</v>
      </c>
      <c r="J1069" s="15">
        <f t="shared" si="161"/>
        <v>3481.51297870821</v>
      </c>
      <c r="K1069" s="15">
        <f t="shared" si="162"/>
        <v>25080.6614765035</v>
      </c>
      <c r="L1069" s="15">
        <f t="shared" si="163"/>
        <v>0.121892434491203</v>
      </c>
      <c r="M1069" s="15">
        <f t="shared" si="164"/>
        <v>0.13881264582953</v>
      </c>
      <c r="N1069" s="16">
        <f t="shared" si="165"/>
        <v>31.7833333333333</v>
      </c>
      <c r="O1069" s="16">
        <f t="shared" si="166"/>
        <v>1758311.93151142</v>
      </c>
      <c r="P1069" s="16">
        <f t="shared" si="167"/>
        <v>1401956.43255075</v>
      </c>
      <c r="Q1069" s="16">
        <f t="shared" si="168"/>
        <v>9.03508771929825</v>
      </c>
      <c r="R1069" s="16">
        <f t="shared" si="169"/>
        <v>1.25418443161768</v>
      </c>
      <c r="S1069" s="16">
        <v>72.3649711588883</v>
      </c>
    </row>
    <row r="1070" spans="1:19">
      <c r="A1070" s="5" t="s">
        <v>800</v>
      </c>
      <c r="B1070" s="5">
        <v>190.7</v>
      </c>
      <c r="C1070" s="5">
        <v>6</v>
      </c>
      <c r="D1070" s="5">
        <v>1150</v>
      </c>
      <c r="E1070" s="5">
        <v>505.042475</v>
      </c>
      <c r="F1070" s="5">
        <v>48.3467845</v>
      </c>
      <c r="G1070" s="5" t="s">
        <v>20</v>
      </c>
      <c r="H1070" s="5">
        <v>3147.93465919309</v>
      </c>
      <c r="I1070" s="14">
        <f t="shared" si="160"/>
        <v>28562.1744552117</v>
      </c>
      <c r="J1070" s="15">
        <f t="shared" si="161"/>
        <v>3481.51297870821</v>
      </c>
      <c r="K1070" s="15">
        <f t="shared" si="162"/>
        <v>25080.6614765035</v>
      </c>
      <c r="L1070" s="15">
        <f t="shared" si="163"/>
        <v>0.121892434491203</v>
      </c>
      <c r="M1070" s="15">
        <f t="shared" si="164"/>
        <v>0.13881264582953</v>
      </c>
      <c r="N1070" s="16">
        <f t="shared" si="165"/>
        <v>31.7833333333333</v>
      </c>
      <c r="O1070" s="16">
        <f t="shared" si="166"/>
        <v>1758311.93151142</v>
      </c>
      <c r="P1070" s="16">
        <f t="shared" si="167"/>
        <v>1212569.33552196</v>
      </c>
      <c r="Q1070" s="16">
        <f t="shared" si="168"/>
        <v>10.446247464503</v>
      </c>
      <c r="R1070" s="16">
        <f t="shared" si="169"/>
        <v>1.45007124953769</v>
      </c>
      <c r="S1070" s="16">
        <v>24.1216570529628</v>
      </c>
    </row>
    <row r="1071" spans="1:19">
      <c r="A1071" s="5" t="s">
        <v>801</v>
      </c>
      <c r="B1071" s="5">
        <v>190.7</v>
      </c>
      <c r="C1071" s="5">
        <v>6</v>
      </c>
      <c r="D1071" s="5">
        <v>3450</v>
      </c>
      <c r="E1071" s="5">
        <v>505.042475</v>
      </c>
      <c r="F1071" s="5">
        <v>48.3467845</v>
      </c>
      <c r="G1071" s="5" t="s">
        <v>20</v>
      </c>
      <c r="H1071" s="5">
        <v>2132.94638122896</v>
      </c>
      <c r="I1071" s="14">
        <f t="shared" si="160"/>
        <v>28562.1744552117</v>
      </c>
      <c r="J1071" s="15">
        <f t="shared" si="161"/>
        <v>3481.51297870821</v>
      </c>
      <c r="K1071" s="15">
        <f t="shared" si="162"/>
        <v>25080.6614765035</v>
      </c>
      <c r="L1071" s="15">
        <f t="shared" si="163"/>
        <v>0.121892434491203</v>
      </c>
      <c r="M1071" s="15">
        <f t="shared" si="164"/>
        <v>0.13881264582953</v>
      </c>
      <c r="N1071" s="16">
        <f t="shared" si="165"/>
        <v>31.7833333333333</v>
      </c>
      <c r="O1071" s="16">
        <f t="shared" si="166"/>
        <v>1758311.93151142</v>
      </c>
      <c r="P1071" s="16">
        <f t="shared" si="167"/>
        <v>1212569.33552196</v>
      </c>
      <c r="Q1071" s="16">
        <f t="shared" si="168"/>
        <v>10.446247464503</v>
      </c>
      <c r="R1071" s="16">
        <f t="shared" si="169"/>
        <v>1.45007124953769</v>
      </c>
      <c r="S1071" s="16">
        <v>72.3649711588883</v>
      </c>
    </row>
    <row r="1072" spans="1:19">
      <c r="A1072" s="5" t="s">
        <v>802</v>
      </c>
      <c r="B1072" s="5">
        <v>267.4</v>
      </c>
      <c r="C1072" s="5">
        <v>7</v>
      </c>
      <c r="D1072" s="5">
        <v>1600</v>
      </c>
      <c r="E1072" s="5">
        <v>460.91255</v>
      </c>
      <c r="F1072" s="5">
        <v>55.897905</v>
      </c>
      <c r="G1072" s="5" t="s">
        <v>20</v>
      </c>
      <c r="H1072" s="5">
        <v>5180.85321012993</v>
      </c>
      <c r="I1072" s="14">
        <f t="shared" si="160"/>
        <v>56158.1363818485</v>
      </c>
      <c r="J1072" s="15">
        <f t="shared" si="161"/>
        <v>5726.49508896348</v>
      </c>
      <c r="K1072" s="15">
        <f t="shared" si="162"/>
        <v>50431.641292885</v>
      </c>
      <c r="L1072" s="15">
        <f t="shared" si="163"/>
        <v>0.101970888955895</v>
      </c>
      <c r="M1072" s="15">
        <f t="shared" si="164"/>
        <v>0.113549647446659</v>
      </c>
      <c r="N1072" s="16">
        <f t="shared" si="165"/>
        <v>38.2</v>
      </c>
      <c r="O1072" s="16">
        <f t="shared" si="166"/>
        <v>2639413.45401663</v>
      </c>
      <c r="P1072" s="16">
        <f t="shared" si="167"/>
        <v>2819023.09398377</v>
      </c>
      <c r="Q1072" s="16">
        <f t="shared" si="168"/>
        <v>8.24561403508772</v>
      </c>
      <c r="R1072" s="16">
        <f t="shared" si="169"/>
        <v>0.936286566665436</v>
      </c>
      <c r="S1072" s="16">
        <v>23.9341810022438</v>
      </c>
    </row>
    <row r="1073" spans="1:19">
      <c r="A1073" s="5" t="s">
        <v>803</v>
      </c>
      <c r="B1073" s="5">
        <v>267.4</v>
      </c>
      <c r="C1073" s="5">
        <v>7</v>
      </c>
      <c r="D1073" s="5">
        <v>3200</v>
      </c>
      <c r="E1073" s="5">
        <v>460.91255</v>
      </c>
      <c r="F1073" s="5">
        <v>55.897905</v>
      </c>
      <c r="G1073" s="5" t="s">
        <v>20</v>
      </c>
      <c r="H1073" s="5">
        <v>4533.61430823976</v>
      </c>
      <c r="I1073" s="14">
        <f t="shared" si="160"/>
        <v>56158.1363818485</v>
      </c>
      <c r="J1073" s="15">
        <f t="shared" si="161"/>
        <v>5726.49508896348</v>
      </c>
      <c r="K1073" s="15">
        <f t="shared" si="162"/>
        <v>50431.641292885</v>
      </c>
      <c r="L1073" s="15">
        <f t="shared" si="163"/>
        <v>0.101970888955895</v>
      </c>
      <c r="M1073" s="15">
        <f t="shared" si="164"/>
        <v>0.113549647446659</v>
      </c>
      <c r="N1073" s="16">
        <f t="shared" si="165"/>
        <v>38.2</v>
      </c>
      <c r="O1073" s="16">
        <f t="shared" si="166"/>
        <v>2639413.45401663</v>
      </c>
      <c r="P1073" s="16">
        <f t="shared" si="167"/>
        <v>2819023.09398377</v>
      </c>
      <c r="Q1073" s="16">
        <f t="shared" si="168"/>
        <v>8.24561403508772</v>
      </c>
      <c r="R1073" s="16">
        <f t="shared" si="169"/>
        <v>0.936286566665436</v>
      </c>
      <c r="S1073" s="16">
        <v>47.8683620044877</v>
      </c>
    </row>
    <row r="1074" spans="1:19">
      <c r="A1074" s="5" t="s">
        <v>804</v>
      </c>
      <c r="B1074" s="5">
        <v>267.4</v>
      </c>
      <c r="C1074" s="5">
        <v>7</v>
      </c>
      <c r="D1074" s="5">
        <v>4800</v>
      </c>
      <c r="E1074" s="5">
        <v>460.91255</v>
      </c>
      <c r="F1074" s="5">
        <v>55.897905</v>
      </c>
      <c r="G1074" s="5" t="s">
        <v>20</v>
      </c>
      <c r="H1074" s="5">
        <v>3625.5185155878</v>
      </c>
      <c r="I1074" s="14">
        <f t="shared" si="160"/>
        <v>56158.1363818485</v>
      </c>
      <c r="J1074" s="15">
        <f t="shared" si="161"/>
        <v>5726.49508896348</v>
      </c>
      <c r="K1074" s="15">
        <f t="shared" si="162"/>
        <v>50431.641292885</v>
      </c>
      <c r="L1074" s="15">
        <f t="shared" si="163"/>
        <v>0.101970888955895</v>
      </c>
      <c r="M1074" s="15">
        <f t="shared" si="164"/>
        <v>0.113549647446659</v>
      </c>
      <c r="N1074" s="16">
        <f t="shared" si="165"/>
        <v>38.2</v>
      </c>
      <c r="O1074" s="16">
        <f t="shared" si="166"/>
        <v>2639413.45401663</v>
      </c>
      <c r="P1074" s="16">
        <f t="shared" si="167"/>
        <v>2819023.09398377</v>
      </c>
      <c r="Q1074" s="16">
        <f t="shared" si="168"/>
        <v>8.24561403508772</v>
      </c>
      <c r="R1074" s="16">
        <f t="shared" si="169"/>
        <v>0.936286566665436</v>
      </c>
      <c r="S1074" s="16">
        <v>71.8025430067315</v>
      </c>
    </row>
    <row r="1075" spans="1:19">
      <c r="A1075" s="5" t="s">
        <v>805</v>
      </c>
      <c r="B1075" s="5">
        <v>267.4</v>
      </c>
      <c r="C1075" s="5">
        <v>7</v>
      </c>
      <c r="D1075" s="5">
        <v>1600</v>
      </c>
      <c r="E1075" s="5">
        <v>460.91255</v>
      </c>
      <c r="F1075" s="5">
        <v>48.3467845</v>
      </c>
      <c r="G1075" s="5" t="s">
        <v>20</v>
      </c>
      <c r="H1075" s="5">
        <v>5187.71786514998</v>
      </c>
      <c r="I1075" s="14">
        <f t="shared" si="160"/>
        <v>56158.1363818485</v>
      </c>
      <c r="J1075" s="15">
        <f t="shared" si="161"/>
        <v>5726.49508896348</v>
      </c>
      <c r="K1075" s="15">
        <f t="shared" si="162"/>
        <v>50431.641292885</v>
      </c>
      <c r="L1075" s="15">
        <f t="shared" si="163"/>
        <v>0.101970888955895</v>
      </c>
      <c r="M1075" s="15">
        <f t="shared" si="164"/>
        <v>0.113549647446659</v>
      </c>
      <c r="N1075" s="16">
        <f t="shared" si="165"/>
        <v>38.2</v>
      </c>
      <c r="O1075" s="16">
        <f t="shared" si="166"/>
        <v>2639413.45401663</v>
      </c>
      <c r="P1075" s="16">
        <f t="shared" si="167"/>
        <v>2438207.69356841</v>
      </c>
      <c r="Q1075" s="16">
        <f t="shared" si="168"/>
        <v>9.53346855983773</v>
      </c>
      <c r="R1075" s="16">
        <f t="shared" si="169"/>
        <v>1.08252199391338</v>
      </c>
      <c r="S1075" s="16">
        <v>23.9341810022438</v>
      </c>
    </row>
    <row r="1076" spans="1:19">
      <c r="A1076" s="5" t="s">
        <v>806</v>
      </c>
      <c r="B1076" s="5">
        <v>267.4</v>
      </c>
      <c r="C1076" s="5">
        <v>7</v>
      </c>
      <c r="D1076" s="5">
        <v>4800</v>
      </c>
      <c r="E1076" s="5">
        <v>460.91255</v>
      </c>
      <c r="F1076" s="5">
        <v>48.3467845</v>
      </c>
      <c r="G1076" s="5" t="s">
        <v>20</v>
      </c>
      <c r="H1076" s="5">
        <v>3903.04671139828</v>
      </c>
      <c r="I1076" s="14">
        <f t="shared" si="160"/>
        <v>56158.1363818485</v>
      </c>
      <c r="J1076" s="15">
        <f t="shared" si="161"/>
        <v>5726.49508896348</v>
      </c>
      <c r="K1076" s="15">
        <f t="shared" si="162"/>
        <v>50431.641292885</v>
      </c>
      <c r="L1076" s="15">
        <f t="shared" si="163"/>
        <v>0.101970888955895</v>
      </c>
      <c r="M1076" s="15">
        <f t="shared" si="164"/>
        <v>0.113549647446659</v>
      </c>
      <c r="N1076" s="16">
        <f t="shared" si="165"/>
        <v>38.2</v>
      </c>
      <c r="O1076" s="16">
        <f t="shared" si="166"/>
        <v>2639413.45401663</v>
      </c>
      <c r="P1076" s="16">
        <f t="shared" si="167"/>
        <v>2438207.69356841</v>
      </c>
      <c r="Q1076" s="16">
        <f t="shared" si="168"/>
        <v>9.53346855983773</v>
      </c>
      <c r="R1076" s="16">
        <f t="shared" si="169"/>
        <v>1.08252199391338</v>
      </c>
      <c r="S1076" s="16">
        <v>71.8025430067315</v>
      </c>
    </row>
    <row r="1077" spans="1:19">
      <c r="A1077" s="5" t="s">
        <v>807</v>
      </c>
      <c r="B1077" s="5">
        <v>323.9</v>
      </c>
      <c r="C1077" s="5">
        <v>5.6</v>
      </c>
      <c r="D1077" s="5">
        <v>4000</v>
      </c>
      <c r="E1077" s="5">
        <v>478</v>
      </c>
      <c r="F1077" s="5">
        <v>92.3</v>
      </c>
      <c r="G1077" s="5" t="s">
        <v>20</v>
      </c>
      <c r="H1077" s="5">
        <v>10401</v>
      </c>
      <c r="I1077" s="14">
        <f t="shared" si="160"/>
        <v>82397.071653804</v>
      </c>
      <c r="J1077" s="15">
        <f t="shared" si="161"/>
        <v>5599.82607317073</v>
      </c>
      <c r="K1077" s="15">
        <f t="shared" si="162"/>
        <v>76797.2455806333</v>
      </c>
      <c r="L1077" s="15">
        <f t="shared" si="163"/>
        <v>0.0679614695131245</v>
      </c>
      <c r="M1077" s="15">
        <f t="shared" si="164"/>
        <v>0.0729170171512362</v>
      </c>
      <c r="N1077" s="16">
        <f t="shared" si="165"/>
        <v>57.8392857142857</v>
      </c>
      <c r="O1077" s="16">
        <f t="shared" si="166"/>
        <v>2676716.86297561</v>
      </c>
      <c r="P1077" s="16">
        <f t="shared" si="167"/>
        <v>7088385.76709245</v>
      </c>
      <c r="Q1077" s="16">
        <f t="shared" si="168"/>
        <v>5.17876489707476</v>
      </c>
      <c r="R1077" s="16">
        <f t="shared" si="169"/>
        <v>0.37762008882222</v>
      </c>
      <c r="S1077" s="16">
        <v>49.3979623340537</v>
      </c>
    </row>
    <row r="1078" spans="1:19">
      <c r="A1078" s="5">
        <v>1</v>
      </c>
      <c r="B1078" s="5">
        <v>139.7</v>
      </c>
      <c r="C1078" s="5">
        <v>9.2202</v>
      </c>
      <c r="D1078" s="5">
        <v>914.4</v>
      </c>
      <c r="E1078" s="5">
        <v>681.9155</v>
      </c>
      <c r="F1078" s="5">
        <v>38.40515</v>
      </c>
      <c r="G1078" s="5"/>
      <c r="H1078" s="5">
        <v>3047.031796</v>
      </c>
      <c r="I1078" s="14">
        <f t="shared" si="160"/>
        <v>15327.9012426993</v>
      </c>
      <c r="J1078" s="15">
        <f t="shared" si="161"/>
        <v>3779.49257681982</v>
      </c>
      <c r="K1078" s="15">
        <f t="shared" si="162"/>
        <v>11548.4086658795</v>
      </c>
      <c r="L1078" s="15">
        <f t="shared" si="163"/>
        <v>0.246576</v>
      </c>
      <c r="M1078" s="15">
        <f t="shared" si="164"/>
        <v>0.327273885620846</v>
      </c>
      <c r="N1078" s="16">
        <f t="shared" si="165"/>
        <v>15.1515151515152</v>
      </c>
      <c r="O1078" s="16">
        <f t="shared" si="166"/>
        <v>2577294.57026838</v>
      </c>
      <c r="P1078" s="16">
        <f t="shared" si="167"/>
        <v>443518.367074401</v>
      </c>
      <c r="Q1078" s="16">
        <f t="shared" si="168"/>
        <v>17.7558348294434</v>
      </c>
      <c r="R1078" s="16">
        <f t="shared" si="169"/>
        <v>5.8110210570739</v>
      </c>
      <c r="S1078" s="16">
        <v>26.1818181818182</v>
      </c>
    </row>
    <row r="1079" spans="1:19">
      <c r="A1079" s="5">
        <v>2</v>
      </c>
      <c r="B1079" s="5">
        <v>139.7</v>
      </c>
      <c r="C1079" s="5">
        <v>9.2202</v>
      </c>
      <c r="D1079" s="5">
        <v>914.4</v>
      </c>
      <c r="E1079" s="5">
        <v>681.9155</v>
      </c>
      <c r="F1079" s="5">
        <v>38.40515</v>
      </c>
      <c r="G1079" s="5"/>
      <c r="H1079" s="5">
        <v>2597.7614144</v>
      </c>
      <c r="I1079" s="14">
        <f t="shared" si="160"/>
        <v>15327.9012426993</v>
      </c>
      <c r="J1079" s="15">
        <f t="shared" si="161"/>
        <v>3779.49257681982</v>
      </c>
      <c r="K1079" s="15">
        <f t="shared" si="162"/>
        <v>11548.4086658795</v>
      </c>
      <c r="L1079" s="15">
        <f t="shared" si="163"/>
        <v>0.246576</v>
      </c>
      <c r="M1079" s="15">
        <f t="shared" si="164"/>
        <v>0.327273885620846</v>
      </c>
      <c r="N1079" s="16">
        <f t="shared" si="165"/>
        <v>15.1515151515152</v>
      </c>
      <c r="O1079" s="16">
        <f t="shared" si="166"/>
        <v>2577294.57026838</v>
      </c>
      <c r="P1079" s="16">
        <f t="shared" si="167"/>
        <v>443518.367074401</v>
      </c>
      <c r="Q1079" s="16">
        <f t="shared" si="168"/>
        <v>17.7558348294434</v>
      </c>
      <c r="R1079" s="16">
        <f t="shared" si="169"/>
        <v>5.8110210570739</v>
      </c>
      <c r="S1079" s="16">
        <v>26.1818181818182</v>
      </c>
    </row>
    <row r="1080" spans="1:19">
      <c r="A1080" s="5">
        <v>3</v>
      </c>
      <c r="B1080" s="5">
        <v>139.7</v>
      </c>
      <c r="C1080" s="5">
        <v>9.2202</v>
      </c>
      <c r="D1080" s="5">
        <v>3048</v>
      </c>
      <c r="E1080" s="5">
        <v>681.9155</v>
      </c>
      <c r="F1080" s="5">
        <v>38.40515</v>
      </c>
      <c r="G1080" s="5"/>
      <c r="H1080" s="5">
        <v>2001.69972</v>
      </c>
      <c r="I1080" s="14">
        <f t="shared" si="160"/>
        <v>15327.9012426993</v>
      </c>
      <c r="J1080" s="15">
        <f t="shared" si="161"/>
        <v>3779.49257681982</v>
      </c>
      <c r="K1080" s="15">
        <f t="shared" si="162"/>
        <v>11548.4086658795</v>
      </c>
      <c r="L1080" s="15">
        <f t="shared" si="163"/>
        <v>0.246576</v>
      </c>
      <c r="M1080" s="15">
        <f t="shared" si="164"/>
        <v>0.327273885620846</v>
      </c>
      <c r="N1080" s="16">
        <f t="shared" si="165"/>
        <v>15.1515151515152</v>
      </c>
      <c r="O1080" s="16">
        <f t="shared" si="166"/>
        <v>2577294.57026838</v>
      </c>
      <c r="P1080" s="16">
        <f t="shared" si="167"/>
        <v>443518.367074401</v>
      </c>
      <c r="Q1080" s="16">
        <f t="shared" si="168"/>
        <v>17.7558348294434</v>
      </c>
      <c r="R1080" s="16">
        <f t="shared" si="169"/>
        <v>5.8110210570739</v>
      </c>
      <c r="S1080" s="16">
        <v>87.2727272727273</v>
      </c>
    </row>
    <row r="1081" spans="1:19">
      <c r="A1081" s="5">
        <v>4</v>
      </c>
      <c r="B1081" s="5">
        <v>177.8</v>
      </c>
      <c r="C1081" s="5">
        <v>12.7508</v>
      </c>
      <c r="D1081" s="5">
        <v>914.4</v>
      </c>
      <c r="E1081" s="5">
        <v>593.6595</v>
      </c>
      <c r="F1081" s="5">
        <v>38.40515</v>
      </c>
      <c r="G1081" s="5"/>
      <c r="H1081" s="5">
        <v>5253.3497096</v>
      </c>
      <c r="I1081" s="14">
        <f t="shared" si="160"/>
        <v>24828.6664757774</v>
      </c>
      <c r="J1081" s="15">
        <f t="shared" si="161"/>
        <v>6611.51107994448</v>
      </c>
      <c r="K1081" s="15">
        <f t="shared" si="162"/>
        <v>18217.1553958329</v>
      </c>
      <c r="L1081" s="15">
        <f t="shared" si="163"/>
        <v>0.266285387755102</v>
      </c>
      <c r="M1081" s="15">
        <f t="shared" si="164"/>
        <v>0.362927742355255</v>
      </c>
      <c r="N1081" s="16">
        <f t="shared" si="165"/>
        <v>13.9442231075697</v>
      </c>
      <c r="O1081" s="16">
        <f t="shared" si="166"/>
        <v>3924986.3619643</v>
      </c>
      <c r="P1081" s="16">
        <f t="shared" si="167"/>
        <v>699632.585550272</v>
      </c>
      <c r="Q1081" s="16">
        <f t="shared" si="168"/>
        <v>15.4578096947935</v>
      </c>
      <c r="R1081" s="16">
        <f t="shared" si="169"/>
        <v>5.61006797428859</v>
      </c>
      <c r="S1081" s="16">
        <v>20.5714285714286</v>
      </c>
    </row>
    <row r="1082" spans="1:19">
      <c r="A1082" s="5">
        <v>5</v>
      </c>
      <c r="B1082" s="5">
        <v>177.8</v>
      </c>
      <c r="C1082" s="5">
        <v>12.7508</v>
      </c>
      <c r="D1082" s="5">
        <v>914.4</v>
      </c>
      <c r="E1082" s="5">
        <v>593.6595</v>
      </c>
      <c r="F1082" s="5">
        <v>38.40515</v>
      </c>
      <c r="G1082" s="5"/>
      <c r="H1082" s="5">
        <v>5524.6912272</v>
      </c>
      <c r="I1082" s="14">
        <f t="shared" si="160"/>
        <v>24828.6664757774</v>
      </c>
      <c r="J1082" s="15">
        <f t="shared" si="161"/>
        <v>6611.51107994448</v>
      </c>
      <c r="K1082" s="15">
        <f t="shared" si="162"/>
        <v>18217.1553958329</v>
      </c>
      <c r="L1082" s="15">
        <f t="shared" si="163"/>
        <v>0.266285387755102</v>
      </c>
      <c r="M1082" s="15">
        <f t="shared" si="164"/>
        <v>0.362927742355255</v>
      </c>
      <c r="N1082" s="16">
        <f t="shared" si="165"/>
        <v>13.9442231075697</v>
      </c>
      <c r="O1082" s="16">
        <f t="shared" si="166"/>
        <v>3924986.3619643</v>
      </c>
      <c r="P1082" s="16">
        <f t="shared" si="167"/>
        <v>699632.585550272</v>
      </c>
      <c r="Q1082" s="16">
        <f t="shared" si="168"/>
        <v>15.4578096947935</v>
      </c>
      <c r="R1082" s="16">
        <f t="shared" si="169"/>
        <v>5.61006797428859</v>
      </c>
      <c r="S1082" s="16">
        <v>20.5714285714286</v>
      </c>
    </row>
    <row r="1083" spans="1:19">
      <c r="A1083" s="5">
        <v>6</v>
      </c>
      <c r="B1083" s="5">
        <v>177.8</v>
      </c>
      <c r="C1083" s="5">
        <v>12.7508</v>
      </c>
      <c r="D1083" s="5">
        <v>3048</v>
      </c>
      <c r="E1083" s="5">
        <v>593.6595</v>
      </c>
      <c r="F1083" s="5">
        <v>38.40515</v>
      </c>
      <c r="G1083" s="5"/>
      <c r="H1083" s="5">
        <v>4310.3267304</v>
      </c>
      <c r="I1083" s="14">
        <f t="shared" si="160"/>
        <v>24828.6664757774</v>
      </c>
      <c r="J1083" s="15">
        <f t="shared" si="161"/>
        <v>6611.51107994448</v>
      </c>
      <c r="K1083" s="15">
        <f t="shared" si="162"/>
        <v>18217.1553958329</v>
      </c>
      <c r="L1083" s="15">
        <f t="shared" si="163"/>
        <v>0.266285387755102</v>
      </c>
      <c r="M1083" s="15">
        <f t="shared" si="164"/>
        <v>0.362927742355255</v>
      </c>
      <c r="N1083" s="16">
        <f t="shared" si="165"/>
        <v>13.9442231075697</v>
      </c>
      <c r="O1083" s="16">
        <f t="shared" si="166"/>
        <v>3924986.3619643</v>
      </c>
      <c r="P1083" s="16">
        <f t="shared" si="167"/>
        <v>699632.585550272</v>
      </c>
      <c r="Q1083" s="16">
        <f t="shared" si="168"/>
        <v>15.4578096947935</v>
      </c>
      <c r="R1083" s="16">
        <f t="shared" si="169"/>
        <v>5.61006797428859</v>
      </c>
      <c r="S1083" s="16">
        <v>68.5714285714286</v>
      </c>
    </row>
    <row r="1084" spans="1:19">
      <c r="A1084" s="5" t="s">
        <v>808</v>
      </c>
      <c r="B1084" s="5">
        <v>165.2</v>
      </c>
      <c r="C1084" s="5">
        <v>4.5</v>
      </c>
      <c r="D1084" s="5">
        <v>1322</v>
      </c>
      <c r="E1084" s="5">
        <v>413.84063</v>
      </c>
      <c r="F1084" s="5">
        <v>40.8937305</v>
      </c>
      <c r="G1084" s="5"/>
      <c r="H1084" s="5">
        <v>1412.157604124</v>
      </c>
      <c r="I1084" s="14">
        <f t="shared" si="160"/>
        <v>21434.3326932063</v>
      </c>
      <c r="J1084" s="15">
        <f t="shared" si="161"/>
        <v>2271.84272744346</v>
      </c>
      <c r="K1084" s="15">
        <f t="shared" si="162"/>
        <v>19162.4899657628</v>
      </c>
      <c r="L1084" s="15">
        <f t="shared" si="163"/>
        <v>0.105990830690219</v>
      </c>
      <c r="M1084" s="15">
        <f t="shared" si="164"/>
        <v>0.118556760186307</v>
      </c>
      <c r="N1084" s="16">
        <f t="shared" si="165"/>
        <v>36.7111111111111</v>
      </c>
      <c r="O1084" s="16">
        <f t="shared" si="166"/>
        <v>940180.82558612</v>
      </c>
      <c r="P1084" s="16">
        <f t="shared" si="167"/>
        <v>783625.700368859</v>
      </c>
      <c r="Q1084" s="16">
        <f t="shared" si="168"/>
        <v>10.1199040767386</v>
      </c>
      <c r="R1084" s="16">
        <f t="shared" si="169"/>
        <v>1.19978304073433</v>
      </c>
      <c r="S1084" s="16">
        <v>32.0096852300242</v>
      </c>
    </row>
    <row r="1085" spans="1:19">
      <c r="A1085" s="5" t="s">
        <v>809</v>
      </c>
      <c r="B1085" s="5">
        <v>165.2</v>
      </c>
      <c r="C1085" s="5">
        <v>4.5</v>
      </c>
      <c r="D1085" s="5">
        <v>1982</v>
      </c>
      <c r="E1085" s="5">
        <v>413.84063</v>
      </c>
      <c r="F1085" s="5">
        <v>40.8937305</v>
      </c>
      <c r="G1085" s="5"/>
      <c r="H1085" s="5">
        <v>1371.95033900658</v>
      </c>
      <c r="I1085" s="14">
        <f t="shared" si="160"/>
        <v>21434.3326932063</v>
      </c>
      <c r="J1085" s="15">
        <f t="shared" si="161"/>
        <v>2271.84272744346</v>
      </c>
      <c r="K1085" s="15">
        <f t="shared" si="162"/>
        <v>19162.4899657628</v>
      </c>
      <c r="L1085" s="15">
        <f t="shared" si="163"/>
        <v>0.105990830690219</v>
      </c>
      <c r="M1085" s="15">
        <f t="shared" si="164"/>
        <v>0.118556760186307</v>
      </c>
      <c r="N1085" s="16">
        <f t="shared" si="165"/>
        <v>36.7111111111111</v>
      </c>
      <c r="O1085" s="16">
        <f t="shared" si="166"/>
        <v>940180.82558612</v>
      </c>
      <c r="P1085" s="16">
        <f t="shared" si="167"/>
        <v>783625.700368859</v>
      </c>
      <c r="Q1085" s="16">
        <f t="shared" si="168"/>
        <v>10.1199040767386</v>
      </c>
      <c r="R1085" s="16">
        <f t="shared" si="169"/>
        <v>1.19978304073433</v>
      </c>
      <c r="S1085" s="16">
        <v>47.9903147699758</v>
      </c>
    </row>
    <row r="1086" spans="1:19">
      <c r="A1086" s="5" t="s">
        <v>810</v>
      </c>
      <c r="B1086" s="5">
        <v>165.2</v>
      </c>
      <c r="C1086" s="5">
        <v>4.5</v>
      </c>
      <c r="D1086" s="5">
        <v>2974</v>
      </c>
      <c r="E1086" s="5">
        <v>413.84063</v>
      </c>
      <c r="F1086" s="5">
        <v>40.8937305</v>
      </c>
      <c r="G1086" s="5"/>
      <c r="H1086" s="5">
        <v>1147.37805335075</v>
      </c>
      <c r="I1086" s="14">
        <f t="shared" si="160"/>
        <v>21434.3326932063</v>
      </c>
      <c r="J1086" s="15">
        <f t="shared" si="161"/>
        <v>2271.84272744346</v>
      </c>
      <c r="K1086" s="15">
        <f t="shared" si="162"/>
        <v>19162.4899657628</v>
      </c>
      <c r="L1086" s="15">
        <f t="shared" si="163"/>
        <v>0.105990830690219</v>
      </c>
      <c r="M1086" s="15">
        <f t="shared" si="164"/>
        <v>0.118556760186307</v>
      </c>
      <c r="N1086" s="16">
        <f t="shared" si="165"/>
        <v>36.7111111111111</v>
      </c>
      <c r="O1086" s="16">
        <f t="shared" si="166"/>
        <v>940180.82558612</v>
      </c>
      <c r="P1086" s="16">
        <f t="shared" si="167"/>
        <v>783625.700368859</v>
      </c>
      <c r="Q1086" s="16">
        <f t="shared" si="168"/>
        <v>10.1199040767386</v>
      </c>
      <c r="R1086" s="16">
        <f t="shared" si="169"/>
        <v>1.19978304073433</v>
      </c>
      <c r="S1086" s="16">
        <v>72.0096852300242</v>
      </c>
    </row>
    <row r="1087" spans="1:19">
      <c r="A1087" s="5" t="s">
        <v>811</v>
      </c>
      <c r="B1087" s="5">
        <v>165.2</v>
      </c>
      <c r="C1087" s="5">
        <v>4.5</v>
      </c>
      <c r="D1087" s="5">
        <v>3965</v>
      </c>
      <c r="E1087" s="5">
        <v>413.84063</v>
      </c>
      <c r="F1087" s="5">
        <v>40.8937305</v>
      </c>
      <c r="G1087" s="5"/>
      <c r="H1087" s="5">
        <v>1018.91093797558</v>
      </c>
      <c r="I1087" s="14">
        <f t="shared" si="160"/>
        <v>21434.3326932063</v>
      </c>
      <c r="J1087" s="15">
        <f t="shared" si="161"/>
        <v>2271.84272744346</v>
      </c>
      <c r="K1087" s="15">
        <f t="shared" si="162"/>
        <v>19162.4899657628</v>
      </c>
      <c r="L1087" s="15">
        <f t="shared" si="163"/>
        <v>0.105990830690219</v>
      </c>
      <c r="M1087" s="15">
        <f t="shared" si="164"/>
        <v>0.118556760186307</v>
      </c>
      <c r="N1087" s="16">
        <f t="shared" si="165"/>
        <v>36.7111111111111</v>
      </c>
      <c r="O1087" s="16">
        <f t="shared" si="166"/>
        <v>940180.82558612</v>
      </c>
      <c r="P1087" s="16">
        <f t="shared" si="167"/>
        <v>783625.700368859</v>
      </c>
      <c r="Q1087" s="16">
        <f t="shared" si="168"/>
        <v>10.1199040767386</v>
      </c>
      <c r="R1087" s="16">
        <f t="shared" si="169"/>
        <v>1.19978304073433</v>
      </c>
      <c r="S1087" s="16">
        <v>96.0048426150121</v>
      </c>
    </row>
    <row r="1088" spans="1:19">
      <c r="A1088" s="5" t="s">
        <v>812</v>
      </c>
      <c r="B1088" s="5">
        <v>165.2</v>
      </c>
      <c r="C1088" s="5">
        <v>4.5</v>
      </c>
      <c r="D1088" s="5">
        <v>4956</v>
      </c>
      <c r="E1088" s="5">
        <v>413.84063</v>
      </c>
      <c r="F1088" s="5">
        <v>40.8937305</v>
      </c>
      <c r="G1088" s="5"/>
      <c r="H1088" s="5">
        <v>781.59000728252</v>
      </c>
      <c r="I1088" s="14">
        <f t="shared" si="160"/>
        <v>21434.3326932063</v>
      </c>
      <c r="J1088" s="15">
        <f t="shared" si="161"/>
        <v>2271.84272744346</v>
      </c>
      <c r="K1088" s="15">
        <f t="shared" si="162"/>
        <v>19162.4899657628</v>
      </c>
      <c r="L1088" s="15">
        <f t="shared" si="163"/>
        <v>0.105990830690219</v>
      </c>
      <c r="M1088" s="15">
        <f t="shared" si="164"/>
        <v>0.118556760186307</v>
      </c>
      <c r="N1088" s="16">
        <f t="shared" si="165"/>
        <v>36.7111111111111</v>
      </c>
      <c r="O1088" s="16">
        <f t="shared" si="166"/>
        <v>940180.82558612</v>
      </c>
      <c r="P1088" s="16">
        <f t="shared" si="167"/>
        <v>783625.700368859</v>
      </c>
      <c r="Q1088" s="16">
        <f t="shared" si="168"/>
        <v>10.1199040767386</v>
      </c>
      <c r="R1088" s="16">
        <f t="shared" si="169"/>
        <v>1.19978304073433</v>
      </c>
      <c r="S1088" s="16">
        <v>120</v>
      </c>
    </row>
    <row r="1089" spans="1:19">
      <c r="A1089" s="5" t="s">
        <v>266</v>
      </c>
      <c r="B1089" s="5">
        <v>140</v>
      </c>
      <c r="C1089" s="5">
        <v>6.68</v>
      </c>
      <c r="D1089" s="5">
        <v>635</v>
      </c>
      <c r="E1089" s="5">
        <v>537</v>
      </c>
      <c r="F1089" s="5">
        <v>28.18</v>
      </c>
      <c r="G1089" s="5" t="s">
        <v>20</v>
      </c>
      <c r="H1089" s="5">
        <v>2715</v>
      </c>
      <c r="I1089" s="14">
        <f t="shared" si="160"/>
        <v>15393.80400259</v>
      </c>
      <c r="J1089" s="15">
        <f t="shared" si="161"/>
        <v>2797.83204561163</v>
      </c>
      <c r="K1089" s="15">
        <f t="shared" si="162"/>
        <v>12595.9719569784</v>
      </c>
      <c r="L1089" s="15">
        <f t="shared" si="163"/>
        <v>0.181750530612245</v>
      </c>
      <c r="M1089" s="15">
        <f t="shared" si="164"/>
        <v>0.222121171368724</v>
      </c>
      <c r="N1089" s="16">
        <f t="shared" si="165"/>
        <v>20.9580838323353</v>
      </c>
      <c r="O1089" s="16">
        <f t="shared" si="166"/>
        <v>1502435.80849344</v>
      </c>
      <c r="P1089" s="16">
        <f t="shared" si="167"/>
        <v>354954.48974765</v>
      </c>
      <c r="Q1089" s="16">
        <f t="shared" si="168"/>
        <v>19.056068133428</v>
      </c>
      <c r="R1089" s="16">
        <f t="shared" si="169"/>
        <v>4.23275617547923</v>
      </c>
      <c r="S1089" s="16">
        <v>18.1428571428571</v>
      </c>
    </row>
    <row r="1090" spans="1:19">
      <c r="A1090" s="5" t="s">
        <v>813</v>
      </c>
      <c r="B1090" s="5">
        <v>101.5</v>
      </c>
      <c r="C1090" s="5">
        <v>2.4</v>
      </c>
      <c r="D1090" s="5">
        <v>2175</v>
      </c>
      <c r="E1090" s="5">
        <v>410</v>
      </c>
      <c r="F1090" s="5">
        <v>58</v>
      </c>
      <c r="G1090" s="5"/>
      <c r="H1090" s="5">
        <v>523</v>
      </c>
      <c r="I1090" s="14">
        <f t="shared" si="160"/>
        <v>8091.36822886136</v>
      </c>
      <c r="J1090" s="15">
        <f t="shared" si="161"/>
        <v>747.196396729795</v>
      </c>
      <c r="K1090" s="15">
        <f t="shared" si="162"/>
        <v>7344.17183213157</v>
      </c>
      <c r="L1090" s="15">
        <f t="shared" si="163"/>
        <v>0.0923448761192942</v>
      </c>
      <c r="M1090" s="15">
        <f t="shared" si="164"/>
        <v>0.10174004827348</v>
      </c>
      <c r="N1090" s="16">
        <f t="shared" si="165"/>
        <v>42.2916666666667</v>
      </c>
      <c r="O1090" s="16">
        <f t="shared" si="166"/>
        <v>306350.522659216</v>
      </c>
      <c r="P1090" s="16">
        <f t="shared" si="167"/>
        <v>425961.966263631</v>
      </c>
      <c r="Q1090" s="16">
        <f t="shared" si="168"/>
        <v>7.06896551724138</v>
      </c>
      <c r="R1090" s="16">
        <f t="shared" si="169"/>
        <v>0.719196892967701</v>
      </c>
      <c r="S1090" s="16">
        <v>85.7142857142857</v>
      </c>
    </row>
    <row r="1091" spans="1:19">
      <c r="A1091" s="5" t="s">
        <v>814</v>
      </c>
      <c r="B1091" s="5">
        <v>159</v>
      </c>
      <c r="C1091" s="5">
        <v>4.8</v>
      </c>
      <c r="D1091" s="5">
        <v>650</v>
      </c>
      <c r="E1091" s="5">
        <v>433</v>
      </c>
      <c r="F1091" s="5">
        <v>64.5</v>
      </c>
      <c r="G1091" s="5" t="s">
        <v>20</v>
      </c>
      <c r="H1091" s="5">
        <v>2150</v>
      </c>
      <c r="I1091" s="14">
        <f t="shared" ref="I1091:I1154" si="170">(PI()*B1091^2)/4</f>
        <v>19855.6509688509</v>
      </c>
      <c r="J1091" s="15">
        <f t="shared" ref="J1091:J1154" si="171">(PI()*(B1091^2-(B1091-2*C1091)^2))/4</f>
        <v>2325.28121848102</v>
      </c>
      <c r="K1091" s="15">
        <f t="shared" ref="K1091:K1154" si="172">(PI()*(B1091-2*C1091)^2)/4</f>
        <v>17530.3697503699</v>
      </c>
      <c r="L1091" s="15">
        <f t="shared" ref="L1091:L1154" si="173">J1091/I1091</f>
        <v>0.117109291562834</v>
      </c>
      <c r="M1091" s="15">
        <f t="shared" ref="M1091:M1154" si="174">J1091/K1091</f>
        <v>0.132643021886744</v>
      </c>
      <c r="N1091" s="16">
        <f t="shared" ref="N1091:N1154" si="175">B1091/C1091</f>
        <v>33.125</v>
      </c>
      <c r="O1091" s="16">
        <f t="shared" ref="O1091:O1154" si="176">J1091*E1091</f>
        <v>1006846.76760228</v>
      </c>
      <c r="P1091" s="16">
        <f t="shared" ref="P1091:P1154" si="177">K1091*F1091</f>
        <v>1130708.84889886</v>
      </c>
      <c r="Q1091" s="16">
        <f t="shared" ref="Q1091:Q1154" si="178">E1091/F1091</f>
        <v>6.71317829457364</v>
      </c>
      <c r="R1091" s="16">
        <f t="shared" ref="R1091:R1154" si="179">O1091/P1091</f>
        <v>0.890456255456745</v>
      </c>
      <c r="S1091" s="16">
        <v>16.3522012578616</v>
      </c>
    </row>
    <row r="1092" spans="1:19">
      <c r="A1092" s="5" t="s">
        <v>575</v>
      </c>
      <c r="B1092" s="5">
        <v>219</v>
      </c>
      <c r="C1092" s="5">
        <v>6</v>
      </c>
      <c r="D1092" s="5">
        <v>1000</v>
      </c>
      <c r="E1092" s="5">
        <v>325</v>
      </c>
      <c r="F1092" s="5">
        <v>58</v>
      </c>
      <c r="G1092" s="5"/>
      <c r="H1092" s="5">
        <v>2989</v>
      </c>
      <c r="I1092" s="14">
        <f t="shared" si="170"/>
        <v>37668.481314705</v>
      </c>
      <c r="J1092" s="15">
        <f t="shared" si="171"/>
        <v>4014.95541128776</v>
      </c>
      <c r="K1092" s="15">
        <f t="shared" si="172"/>
        <v>33653.5259034173</v>
      </c>
      <c r="L1092" s="15">
        <f t="shared" si="173"/>
        <v>0.106586601613811</v>
      </c>
      <c r="M1092" s="15">
        <f t="shared" si="174"/>
        <v>0.119302667506826</v>
      </c>
      <c r="N1092" s="16">
        <f t="shared" si="175"/>
        <v>36.5</v>
      </c>
      <c r="O1092" s="16">
        <f t="shared" si="176"/>
        <v>1304860.50866852</v>
      </c>
      <c r="P1092" s="16">
        <f t="shared" si="177"/>
        <v>1951904.5023982</v>
      </c>
      <c r="Q1092" s="16">
        <f t="shared" si="178"/>
        <v>5.60344827586207</v>
      </c>
      <c r="R1092" s="16">
        <f t="shared" si="179"/>
        <v>0.668506326546871</v>
      </c>
      <c r="S1092" s="16">
        <v>18.2648401826484</v>
      </c>
    </row>
    <row r="1093" spans="1:19">
      <c r="A1093" s="5" t="s">
        <v>579</v>
      </c>
      <c r="B1093" s="5">
        <v>219</v>
      </c>
      <c r="C1093" s="5">
        <v>4</v>
      </c>
      <c r="D1093" s="5">
        <v>1000</v>
      </c>
      <c r="E1093" s="5">
        <v>325</v>
      </c>
      <c r="F1093" s="5">
        <v>47.6</v>
      </c>
      <c r="G1093" s="5"/>
      <c r="H1093" s="5">
        <v>1930.6</v>
      </c>
      <c r="I1093" s="14">
        <f t="shared" si="170"/>
        <v>37668.481314705</v>
      </c>
      <c r="J1093" s="15">
        <f t="shared" si="171"/>
        <v>2701.76968208722</v>
      </c>
      <c r="K1093" s="15">
        <f t="shared" si="172"/>
        <v>34966.7116326178</v>
      </c>
      <c r="L1093" s="15">
        <f t="shared" si="173"/>
        <v>0.0717249431830029</v>
      </c>
      <c r="M1093" s="15">
        <f t="shared" si="174"/>
        <v>0.0772669077513982</v>
      </c>
      <c r="N1093" s="16">
        <f t="shared" si="175"/>
        <v>54.75</v>
      </c>
      <c r="O1093" s="16">
        <f t="shared" si="176"/>
        <v>878075.146678347</v>
      </c>
      <c r="P1093" s="16">
        <f t="shared" si="177"/>
        <v>1664415.47371261</v>
      </c>
      <c r="Q1093" s="16">
        <f t="shared" si="178"/>
        <v>6.82773109243697</v>
      </c>
      <c r="R1093" s="16">
        <f t="shared" si="179"/>
        <v>0.527557668470681</v>
      </c>
      <c r="S1093" s="16">
        <v>18.2648401826484</v>
      </c>
    </row>
    <row r="1094" spans="1:19">
      <c r="A1094" s="5" t="s">
        <v>479</v>
      </c>
      <c r="B1094" s="5">
        <v>219</v>
      </c>
      <c r="C1094" s="5">
        <v>4</v>
      </c>
      <c r="D1094" s="5">
        <v>1000</v>
      </c>
      <c r="E1094" s="5">
        <v>325</v>
      </c>
      <c r="F1094" s="5">
        <v>52.3</v>
      </c>
      <c r="G1094" s="5"/>
      <c r="H1094" s="5">
        <v>1979.6</v>
      </c>
      <c r="I1094" s="14">
        <f t="shared" si="170"/>
        <v>37668.481314705</v>
      </c>
      <c r="J1094" s="15">
        <f t="shared" si="171"/>
        <v>2701.76968208722</v>
      </c>
      <c r="K1094" s="15">
        <f t="shared" si="172"/>
        <v>34966.7116326178</v>
      </c>
      <c r="L1094" s="15">
        <f t="shared" si="173"/>
        <v>0.0717249431830029</v>
      </c>
      <c r="M1094" s="15">
        <f t="shared" si="174"/>
        <v>0.0772669077513982</v>
      </c>
      <c r="N1094" s="16">
        <f t="shared" si="175"/>
        <v>54.75</v>
      </c>
      <c r="O1094" s="16">
        <f t="shared" si="176"/>
        <v>878075.146678347</v>
      </c>
      <c r="P1094" s="16">
        <f t="shared" si="177"/>
        <v>1828759.01838591</v>
      </c>
      <c r="Q1094" s="16">
        <f t="shared" si="178"/>
        <v>6.21414913957935</v>
      </c>
      <c r="R1094" s="16">
        <f t="shared" si="179"/>
        <v>0.480148088321308</v>
      </c>
      <c r="S1094" s="16">
        <v>18.2648401826484</v>
      </c>
    </row>
    <row r="1095" spans="1:19">
      <c r="A1095" s="5">
        <v>1</v>
      </c>
      <c r="B1095" s="5">
        <v>133</v>
      </c>
      <c r="C1095" s="5">
        <v>4.5</v>
      </c>
      <c r="D1095" s="5">
        <v>1862</v>
      </c>
      <c r="E1095" s="5">
        <v>325</v>
      </c>
      <c r="F1095" s="5">
        <v>42.2</v>
      </c>
      <c r="G1095" s="5" t="s">
        <v>265</v>
      </c>
      <c r="H1095" s="5">
        <v>882</v>
      </c>
      <c r="I1095" s="14">
        <f t="shared" si="170"/>
        <v>13892.9081123375</v>
      </c>
      <c r="J1095" s="15">
        <f t="shared" si="171"/>
        <v>1816.6259519383</v>
      </c>
      <c r="K1095" s="15">
        <f t="shared" si="172"/>
        <v>12076.2821603992</v>
      </c>
      <c r="L1095" s="15">
        <f t="shared" si="173"/>
        <v>0.130759228899316</v>
      </c>
      <c r="M1095" s="15">
        <f t="shared" si="174"/>
        <v>0.15042924037461</v>
      </c>
      <c r="N1095" s="16">
        <f t="shared" si="175"/>
        <v>29.5555555555556</v>
      </c>
      <c r="O1095" s="16">
        <f t="shared" si="176"/>
        <v>590403.434379947</v>
      </c>
      <c r="P1095" s="16">
        <f t="shared" si="177"/>
        <v>509619.107168845</v>
      </c>
      <c r="Q1095" s="16">
        <f t="shared" si="178"/>
        <v>7.70142180094787</v>
      </c>
      <c r="R1095" s="16">
        <f t="shared" si="179"/>
        <v>1.15851903132105</v>
      </c>
      <c r="S1095" s="16">
        <v>56</v>
      </c>
    </row>
    <row r="1096" spans="1:19">
      <c r="A1096" s="5">
        <v>2</v>
      </c>
      <c r="B1096" s="5">
        <v>133</v>
      </c>
      <c r="C1096" s="5">
        <v>4.5</v>
      </c>
      <c r="D1096" s="5">
        <v>1862</v>
      </c>
      <c r="E1096" s="5">
        <v>325</v>
      </c>
      <c r="F1096" s="5">
        <v>42.2</v>
      </c>
      <c r="G1096" s="5" t="s">
        <v>265</v>
      </c>
      <c r="H1096" s="5">
        <v>715</v>
      </c>
      <c r="I1096" s="14">
        <f t="shared" si="170"/>
        <v>13892.9081123375</v>
      </c>
      <c r="J1096" s="15">
        <f t="shared" si="171"/>
        <v>1816.6259519383</v>
      </c>
      <c r="K1096" s="15">
        <f t="shared" si="172"/>
        <v>12076.2821603992</v>
      </c>
      <c r="L1096" s="15">
        <f t="shared" si="173"/>
        <v>0.130759228899316</v>
      </c>
      <c r="M1096" s="15">
        <f t="shared" si="174"/>
        <v>0.15042924037461</v>
      </c>
      <c r="N1096" s="16">
        <f t="shared" si="175"/>
        <v>29.5555555555556</v>
      </c>
      <c r="O1096" s="16">
        <f t="shared" si="176"/>
        <v>590403.434379947</v>
      </c>
      <c r="P1096" s="16">
        <f t="shared" si="177"/>
        <v>509619.107168845</v>
      </c>
      <c r="Q1096" s="16">
        <f t="shared" si="178"/>
        <v>7.70142180094787</v>
      </c>
      <c r="R1096" s="16">
        <f t="shared" si="179"/>
        <v>1.15851903132105</v>
      </c>
      <c r="S1096" s="16">
        <v>56</v>
      </c>
    </row>
    <row r="1097" spans="1:19">
      <c r="A1097" s="5">
        <v>3</v>
      </c>
      <c r="B1097" s="5">
        <v>133</v>
      </c>
      <c r="C1097" s="5">
        <v>4.5</v>
      </c>
      <c r="D1097" s="5">
        <v>2793</v>
      </c>
      <c r="E1097" s="5">
        <v>325</v>
      </c>
      <c r="F1097" s="5">
        <v>42.2</v>
      </c>
      <c r="G1097" s="5" t="s">
        <v>265</v>
      </c>
      <c r="H1097" s="5">
        <v>784</v>
      </c>
      <c r="I1097" s="14">
        <f t="shared" si="170"/>
        <v>13892.9081123375</v>
      </c>
      <c r="J1097" s="15">
        <f t="shared" si="171"/>
        <v>1816.6259519383</v>
      </c>
      <c r="K1097" s="15">
        <f t="shared" si="172"/>
        <v>12076.2821603992</v>
      </c>
      <c r="L1097" s="15">
        <f t="shared" si="173"/>
        <v>0.130759228899316</v>
      </c>
      <c r="M1097" s="15">
        <f t="shared" si="174"/>
        <v>0.15042924037461</v>
      </c>
      <c r="N1097" s="16">
        <f t="shared" si="175"/>
        <v>29.5555555555556</v>
      </c>
      <c r="O1097" s="16">
        <f t="shared" si="176"/>
        <v>590403.434379947</v>
      </c>
      <c r="P1097" s="16">
        <f t="shared" si="177"/>
        <v>509619.107168845</v>
      </c>
      <c r="Q1097" s="16">
        <f t="shared" si="178"/>
        <v>7.70142180094787</v>
      </c>
      <c r="R1097" s="16">
        <f t="shared" si="179"/>
        <v>1.15851903132105</v>
      </c>
      <c r="S1097" s="16">
        <v>84</v>
      </c>
    </row>
    <row r="1098" spans="1:19">
      <c r="A1098" s="5" t="s">
        <v>815</v>
      </c>
      <c r="B1098" s="5">
        <v>100</v>
      </c>
      <c r="C1098" s="5">
        <v>1.9</v>
      </c>
      <c r="D1098" s="5">
        <v>900</v>
      </c>
      <c r="E1098" s="5">
        <v>404</v>
      </c>
      <c r="F1098" s="5">
        <v>121.6</v>
      </c>
      <c r="G1098" s="5" t="s">
        <v>265</v>
      </c>
      <c r="H1098" s="5">
        <v>1065</v>
      </c>
      <c r="I1098" s="14">
        <f t="shared" si="170"/>
        <v>7853.98163397448</v>
      </c>
      <c r="J1098" s="15">
        <f t="shared" si="171"/>
        <v>585.561454702601</v>
      </c>
      <c r="K1098" s="15">
        <f t="shared" si="172"/>
        <v>7268.42017927188</v>
      </c>
      <c r="L1098" s="15">
        <f t="shared" si="173"/>
        <v>0.074556</v>
      </c>
      <c r="M1098" s="15">
        <f t="shared" si="174"/>
        <v>0.0805624111237416</v>
      </c>
      <c r="N1098" s="16">
        <f t="shared" si="175"/>
        <v>52.6315789473684</v>
      </c>
      <c r="O1098" s="16">
        <f t="shared" si="176"/>
        <v>236566.827699851</v>
      </c>
      <c r="P1098" s="16">
        <f t="shared" si="177"/>
        <v>883839.893799461</v>
      </c>
      <c r="Q1098" s="16">
        <f t="shared" si="178"/>
        <v>3.32236842105263</v>
      </c>
      <c r="R1098" s="16">
        <f t="shared" si="179"/>
        <v>0.267658010641378</v>
      </c>
      <c r="S1098" s="16">
        <v>36</v>
      </c>
    </row>
    <row r="1099" spans="1:19">
      <c r="A1099" s="5" t="s">
        <v>816</v>
      </c>
      <c r="B1099" s="5">
        <v>100</v>
      </c>
      <c r="C1099" s="5">
        <v>1.9</v>
      </c>
      <c r="D1099" s="5">
        <v>900</v>
      </c>
      <c r="E1099" s="5">
        <v>404</v>
      </c>
      <c r="F1099" s="5">
        <v>121.6</v>
      </c>
      <c r="G1099" s="5" t="s">
        <v>265</v>
      </c>
      <c r="H1099" s="5">
        <v>980</v>
      </c>
      <c r="I1099" s="14">
        <f t="shared" si="170"/>
        <v>7853.98163397448</v>
      </c>
      <c r="J1099" s="15">
        <f t="shared" si="171"/>
        <v>585.561454702601</v>
      </c>
      <c r="K1099" s="15">
        <f t="shared" si="172"/>
        <v>7268.42017927188</v>
      </c>
      <c r="L1099" s="15">
        <f t="shared" si="173"/>
        <v>0.074556</v>
      </c>
      <c r="M1099" s="15">
        <f t="shared" si="174"/>
        <v>0.0805624111237416</v>
      </c>
      <c r="N1099" s="16">
        <f t="shared" si="175"/>
        <v>52.6315789473684</v>
      </c>
      <c r="O1099" s="16">
        <f t="shared" si="176"/>
        <v>236566.827699851</v>
      </c>
      <c r="P1099" s="16">
        <f t="shared" si="177"/>
        <v>883839.893799461</v>
      </c>
      <c r="Q1099" s="16">
        <f t="shared" si="178"/>
        <v>3.32236842105263</v>
      </c>
      <c r="R1099" s="16">
        <f t="shared" si="179"/>
        <v>0.267658010641378</v>
      </c>
      <c r="S1099" s="16">
        <v>36</v>
      </c>
    </row>
    <row r="1100" spans="1:19">
      <c r="A1100" s="5" t="s">
        <v>817</v>
      </c>
      <c r="B1100" s="5">
        <v>100</v>
      </c>
      <c r="C1100" s="5">
        <v>1.9</v>
      </c>
      <c r="D1100" s="5">
        <v>1500</v>
      </c>
      <c r="E1100" s="5">
        <v>404</v>
      </c>
      <c r="F1100" s="5">
        <v>121.6</v>
      </c>
      <c r="G1100" s="5" t="s">
        <v>265</v>
      </c>
      <c r="H1100" s="5">
        <v>907</v>
      </c>
      <c r="I1100" s="14">
        <f t="shared" si="170"/>
        <v>7853.98163397448</v>
      </c>
      <c r="J1100" s="15">
        <f t="shared" si="171"/>
        <v>585.561454702601</v>
      </c>
      <c r="K1100" s="15">
        <f t="shared" si="172"/>
        <v>7268.42017927188</v>
      </c>
      <c r="L1100" s="15">
        <f t="shared" si="173"/>
        <v>0.074556</v>
      </c>
      <c r="M1100" s="15">
        <f t="shared" si="174"/>
        <v>0.0805624111237416</v>
      </c>
      <c r="N1100" s="16">
        <f t="shared" si="175"/>
        <v>52.6315789473684</v>
      </c>
      <c r="O1100" s="16">
        <f t="shared" si="176"/>
        <v>236566.827699851</v>
      </c>
      <c r="P1100" s="16">
        <f t="shared" si="177"/>
        <v>883839.893799461</v>
      </c>
      <c r="Q1100" s="16">
        <f t="shared" si="178"/>
        <v>3.32236842105263</v>
      </c>
      <c r="R1100" s="16">
        <f t="shared" si="179"/>
        <v>0.267658010641378</v>
      </c>
      <c r="S1100" s="16">
        <v>60</v>
      </c>
    </row>
    <row r="1101" spans="1:19">
      <c r="A1101" s="5" t="s">
        <v>818</v>
      </c>
      <c r="B1101" s="5">
        <v>100</v>
      </c>
      <c r="C1101" s="5">
        <v>1.9</v>
      </c>
      <c r="D1101" s="5">
        <v>1500</v>
      </c>
      <c r="E1101" s="5">
        <v>404</v>
      </c>
      <c r="F1101" s="5">
        <v>121.6</v>
      </c>
      <c r="G1101" s="5" t="s">
        <v>265</v>
      </c>
      <c r="H1101" s="5">
        <v>760</v>
      </c>
      <c r="I1101" s="14">
        <f t="shared" si="170"/>
        <v>7853.98163397448</v>
      </c>
      <c r="J1101" s="15">
        <f t="shared" si="171"/>
        <v>585.561454702601</v>
      </c>
      <c r="K1101" s="15">
        <f t="shared" si="172"/>
        <v>7268.42017927188</v>
      </c>
      <c r="L1101" s="15">
        <f t="shared" si="173"/>
        <v>0.074556</v>
      </c>
      <c r="M1101" s="15">
        <f t="shared" si="174"/>
        <v>0.0805624111237416</v>
      </c>
      <c r="N1101" s="16">
        <f t="shared" si="175"/>
        <v>52.6315789473684</v>
      </c>
      <c r="O1101" s="16">
        <f t="shared" si="176"/>
        <v>236566.827699851</v>
      </c>
      <c r="P1101" s="16">
        <f t="shared" si="177"/>
        <v>883839.893799461</v>
      </c>
      <c r="Q1101" s="16">
        <f t="shared" si="178"/>
        <v>3.32236842105263</v>
      </c>
      <c r="R1101" s="16">
        <f t="shared" si="179"/>
        <v>0.267658010641378</v>
      </c>
      <c r="S1101" s="16">
        <v>60</v>
      </c>
    </row>
    <row r="1102" spans="1:19">
      <c r="A1102" s="5" t="s">
        <v>819</v>
      </c>
      <c r="B1102" s="5">
        <v>100</v>
      </c>
      <c r="C1102" s="5">
        <v>1.9</v>
      </c>
      <c r="D1102" s="5">
        <v>3000</v>
      </c>
      <c r="E1102" s="5">
        <v>404</v>
      </c>
      <c r="F1102" s="5">
        <v>121.6</v>
      </c>
      <c r="G1102" s="5" t="s">
        <v>265</v>
      </c>
      <c r="H1102" s="5">
        <v>288</v>
      </c>
      <c r="I1102" s="14">
        <f t="shared" si="170"/>
        <v>7853.98163397448</v>
      </c>
      <c r="J1102" s="15">
        <f t="shared" si="171"/>
        <v>585.561454702601</v>
      </c>
      <c r="K1102" s="15">
        <f t="shared" si="172"/>
        <v>7268.42017927188</v>
      </c>
      <c r="L1102" s="15">
        <f t="shared" si="173"/>
        <v>0.074556</v>
      </c>
      <c r="M1102" s="15">
        <f t="shared" si="174"/>
        <v>0.0805624111237416</v>
      </c>
      <c r="N1102" s="16">
        <f t="shared" si="175"/>
        <v>52.6315789473684</v>
      </c>
      <c r="O1102" s="16">
        <f t="shared" si="176"/>
        <v>236566.827699851</v>
      </c>
      <c r="P1102" s="16">
        <f t="shared" si="177"/>
        <v>883839.893799461</v>
      </c>
      <c r="Q1102" s="16">
        <f t="shared" si="178"/>
        <v>3.32236842105263</v>
      </c>
      <c r="R1102" s="16">
        <f t="shared" si="179"/>
        <v>0.267658010641378</v>
      </c>
      <c r="S1102" s="16">
        <v>120</v>
      </c>
    </row>
    <row r="1103" spans="1:19">
      <c r="A1103" s="5" t="s">
        <v>820</v>
      </c>
      <c r="B1103" s="5">
        <v>100</v>
      </c>
      <c r="C1103" s="5">
        <v>1.9</v>
      </c>
      <c r="D1103" s="5">
        <v>3000</v>
      </c>
      <c r="E1103" s="5">
        <v>404</v>
      </c>
      <c r="F1103" s="5">
        <v>121.6</v>
      </c>
      <c r="G1103" s="5" t="s">
        <v>265</v>
      </c>
      <c r="H1103" s="5">
        <v>317.5</v>
      </c>
      <c r="I1103" s="14">
        <f t="shared" si="170"/>
        <v>7853.98163397448</v>
      </c>
      <c r="J1103" s="15">
        <f t="shared" si="171"/>
        <v>585.561454702601</v>
      </c>
      <c r="K1103" s="15">
        <f t="shared" si="172"/>
        <v>7268.42017927188</v>
      </c>
      <c r="L1103" s="15">
        <f t="shared" si="173"/>
        <v>0.074556</v>
      </c>
      <c r="M1103" s="15">
        <f t="shared" si="174"/>
        <v>0.0805624111237416</v>
      </c>
      <c r="N1103" s="16">
        <f t="shared" si="175"/>
        <v>52.6315789473684</v>
      </c>
      <c r="O1103" s="16">
        <f t="shared" si="176"/>
        <v>236566.827699851</v>
      </c>
      <c r="P1103" s="16">
        <f t="shared" si="177"/>
        <v>883839.893799461</v>
      </c>
      <c r="Q1103" s="16">
        <f t="shared" si="178"/>
        <v>3.32236842105263</v>
      </c>
      <c r="R1103" s="16">
        <f t="shared" si="179"/>
        <v>0.267658010641378</v>
      </c>
      <c r="S1103" s="16">
        <v>120</v>
      </c>
    </row>
    <row r="1104" spans="1:19">
      <c r="A1104" s="5" t="s">
        <v>821</v>
      </c>
      <c r="B1104" s="5">
        <v>360</v>
      </c>
      <c r="C1104" s="5">
        <v>6</v>
      </c>
      <c r="D1104" s="5">
        <v>1760</v>
      </c>
      <c r="E1104" s="5">
        <v>498</v>
      </c>
      <c r="F1104" s="5">
        <v>31.5</v>
      </c>
      <c r="G1104" s="5" t="s">
        <v>20</v>
      </c>
      <c r="H1104" s="5">
        <v>6888</v>
      </c>
      <c r="I1104" s="14">
        <f t="shared" si="170"/>
        <v>101787.601976309</v>
      </c>
      <c r="J1104" s="15">
        <f t="shared" si="171"/>
        <v>6672.74279622472</v>
      </c>
      <c r="K1104" s="15">
        <f t="shared" si="172"/>
        <v>95114.8591800846</v>
      </c>
      <c r="L1104" s="15">
        <f t="shared" si="173"/>
        <v>0.0655555555555556</v>
      </c>
      <c r="M1104" s="15">
        <f t="shared" si="174"/>
        <v>0.0701545778834721</v>
      </c>
      <c r="N1104" s="16">
        <f t="shared" si="175"/>
        <v>60</v>
      </c>
      <c r="O1104" s="16">
        <f t="shared" si="176"/>
        <v>3323025.91251991</v>
      </c>
      <c r="P1104" s="16">
        <f t="shared" si="177"/>
        <v>2996118.06417266</v>
      </c>
      <c r="Q1104" s="16">
        <f t="shared" si="178"/>
        <v>15.8095238095238</v>
      </c>
      <c r="R1104" s="16">
        <f t="shared" si="179"/>
        <v>1.10911046939584</v>
      </c>
      <c r="S1104" s="16">
        <v>19.5555555555556</v>
      </c>
    </row>
    <row r="1105" spans="1:19">
      <c r="A1105" s="5" t="s">
        <v>822</v>
      </c>
      <c r="B1105" s="5">
        <v>300</v>
      </c>
      <c r="C1105" s="5">
        <v>12</v>
      </c>
      <c r="D1105" s="5">
        <v>1580</v>
      </c>
      <c r="E1105" s="5">
        <v>479</v>
      </c>
      <c r="F1105" s="5">
        <v>31.5</v>
      </c>
      <c r="G1105" s="5" t="s">
        <v>20</v>
      </c>
      <c r="H1105" s="5">
        <v>9823</v>
      </c>
      <c r="I1105" s="14">
        <f t="shared" si="170"/>
        <v>70685.8347057704</v>
      </c>
      <c r="J1105" s="15">
        <f t="shared" si="171"/>
        <v>10857.3442108063</v>
      </c>
      <c r="K1105" s="15">
        <f t="shared" si="172"/>
        <v>59828.490494964</v>
      </c>
      <c r="L1105" s="15">
        <f t="shared" si="173"/>
        <v>0.1536</v>
      </c>
      <c r="M1105" s="15">
        <f t="shared" si="174"/>
        <v>0.181474480151229</v>
      </c>
      <c r="N1105" s="16">
        <f t="shared" si="175"/>
        <v>25</v>
      </c>
      <c r="O1105" s="16">
        <f t="shared" si="176"/>
        <v>5200667.87697623</v>
      </c>
      <c r="P1105" s="16">
        <f t="shared" si="177"/>
        <v>1884597.45059137</v>
      </c>
      <c r="Q1105" s="16">
        <f t="shared" si="178"/>
        <v>15.2063492063492</v>
      </c>
      <c r="R1105" s="16">
        <f t="shared" si="179"/>
        <v>2.75956431722027</v>
      </c>
      <c r="S1105" s="16">
        <v>21.0666666666667</v>
      </c>
    </row>
    <row r="1106" spans="1:19">
      <c r="A1106" s="5" t="s">
        <v>516</v>
      </c>
      <c r="B1106" s="5">
        <v>114.85</v>
      </c>
      <c r="C1106" s="5">
        <v>3</v>
      </c>
      <c r="D1106" s="5">
        <v>1000</v>
      </c>
      <c r="E1106" s="5">
        <v>354.05</v>
      </c>
      <c r="F1106" s="5">
        <v>40.3</v>
      </c>
      <c r="G1106" s="5" t="s">
        <v>20</v>
      </c>
      <c r="H1106" s="5">
        <v>806.4</v>
      </c>
      <c r="I1106" s="14">
        <f t="shared" si="170"/>
        <v>10359.8121457527</v>
      </c>
      <c r="J1106" s="15">
        <f t="shared" si="171"/>
        <v>1054.16141491206</v>
      </c>
      <c r="K1106" s="15">
        <f t="shared" si="172"/>
        <v>9305.65073084066</v>
      </c>
      <c r="L1106" s="15">
        <f t="shared" si="173"/>
        <v>0.10175487741293</v>
      </c>
      <c r="M1106" s="15">
        <f t="shared" si="174"/>
        <v>0.113281859098619</v>
      </c>
      <c r="N1106" s="16">
        <f t="shared" si="175"/>
        <v>38.2833333333333</v>
      </c>
      <c r="O1106" s="16">
        <f t="shared" si="176"/>
        <v>373225.848949613</v>
      </c>
      <c r="P1106" s="16">
        <f t="shared" si="177"/>
        <v>375017.724452879</v>
      </c>
      <c r="Q1106" s="16">
        <f t="shared" si="178"/>
        <v>8.78535980148883</v>
      </c>
      <c r="R1106" s="16">
        <f t="shared" si="179"/>
        <v>0.995221891162932</v>
      </c>
      <c r="S1106" s="16">
        <v>34.8280365694384</v>
      </c>
    </row>
    <row r="1107" spans="1:19">
      <c r="A1107" s="5" t="s">
        <v>517</v>
      </c>
      <c r="B1107" s="5">
        <v>114.85</v>
      </c>
      <c r="C1107" s="5">
        <v>3</v>
      </c>
      <c r="D1107" s="5">
        <v>1500</v>
      </c>
      <c r="E1107" s="5">
        <v>354.05</v>
      </c>
      <c r="F1107" s="5">
        <v>40.3</v>
      </c>
      <c r="G1107" s="5" t="s">
        <v>20</v>
      </c>
      <c r="H1107" s="5">
        <v>688.2</v>
      </c>
      <c r="I1107" s="14">
        <f t="shared" si="170"/>
        <v>10359.8121457527</v>
      </c>
      <c r="J1107" s="15">
        <f t="shared" si="171"/>
        <v>1054.16141491206</v>
      </c>
      <c r="K1107" s="15">
        <f t="shared" si="172"/>
        <v>9305.65073084066</v>
      </c>
      <c r="L1107" s="15">
        <f t="shared" si="173"/>
        <v>0.10175487741293</v>
      </c>
      <c r="M1107" s="15">
        <f t="shared" si="174"/>
        <v>0.113281859098619</v>
      </c>
      <c r="N1107" s="16">
        <f t="shared" si="175"/>
        <v>38.2833333333333</v>
      </c>
      <c r="O1107" s="16">
        <f t="shared" si="176"/>
        <v>373225.848949613</v>
      </c>
      <c r="P1107" s="16">
        <f t="shared" si="177"/>
        <v>375017.724452879</v>
      </c>
      <c r="Q1107" s="16">
        <f t="shared" si="178"/>
        <v>8.78535980148883</v>
      </c>
      <c r="R1107" s="16">
        <f t="shared" si="179"/>
        <v>0.995221891162932</v>
      </c>
      <c r="S1107" s="16">
        <v>52.2420548541576</v>
      </c>
    </row>
    <row r="1108" spans="1:19">
      <c r="A1108" s="5" t="s">
        <v>518</v>
      </c>
      <c r="B1108" s="5">
        <v>114.85</v>
      </c>
      <c r="C1108" s="5">
        <v>3</v>
      </c>
      <c r="D1108" s="5">
        <v>2000</v>
      </c>
      <c r="E1108" s="5">
        <v>354.05</v>
      </c>
      <c r="F1108" s="5">
        <v>40.3</v>
      </c>
      <c r="G1108" s="5" t="s">
        <v>20</v>
      </c>
      <c r="H1108" s="5">
        <v>632.2</v>
      </c>
      <c r="I1108" s="14">
        <f t="shared" si="170"/>
        <v>10359.8121457527</v>
      </c>
      <c r="J1108" s="15">
        <f t="shared" si="171"/>
        <v>1054.16141491206</v>
      </c>
      <c r="K1108" s="15">
        <f t="shared" si="172"/>
        <v>9305.65073084066</v>
      </c>
      <c r="L1108" s="15">
        <f t="shared" si="173"/>
        <v>0.10175487741293</v>
      </c>
      <c r="M1108" s="15">
        <f t="shared" si="174"/>
        <v>0.113281859098619</v>
      </c>
      <c r="N1108" s="16">
        <f t="shared" si="175"/>
        <v>38.2833333333333</v>
      </c>
      <c r="O1108" s="16">
        <f t="shared" si="176"/>
        <v>373225.848949613</v>
      </c>
      <c r="P1108" s="16">
        <f t="shared" si="177"/>
        <v>375017.724452879</v>
      </c>
      <c r="Q1108" s="16">
        <f t="shared" si="178"/>
        <v>8.78535980148883</v>
      </c>
      <c r="R1108" s="16">
        <f t="shared" si="179"/>
        <v>0.995221891162932</v>
      </c>
      <c r="S1108" s="16">
        <v>69.6560731388768</v>
      </c>
    </row>
    <row r="1109" spans="1:19">
      <c r="A1109" s="5" t="s">
        <v>823</v>
      </c>
      <c r="B1109" s="5">
        <v>114.85</v>
      </c>
      <c r="C1109" s="5">
        <v>3</v>
      </c>
      <c r="D1109" s="5">
        <v>2500</v>
      </c>
      <c r="E1109" s="5">
        <v>354.05</v>
      </c>
      <c r="F1109" s="5">
        <v>40.3</v>
      </c>
      <c r="G1109" s="5" t="s">
        <v>20</v>
      </c>
      <c r="H1109" s="5">
        <v>566.1</v>
      </c>
      <c r="I1109" s="14">
        <f t="shared" si="170"/>
        <v>10359.8121457527</v>
      </c>
      <c r="J1109" s="15">
        <f t="shared" si="171"/>
        <v>1054.16141491206</v>
      </c>
      <c r="K1109" s="15">
        <f t="shared" si="172"/>
        <v>9305.65073084066</v>
      </c>
      <c r="L1109" s="15">
        <f t="shared" si="173"/>
        <v>0.10175487741293</v>
      </c>
      <c r="M1109" s="15">
        <f t="shared" si="174"/>
        <v>0.113281859098619</v>
      </c>
      <c r="N1109" s="16">
        <f t="shared" si="175"/>
        <v>38.2833333333333</v>
      </c>
      <c r="O1109" s="16">
        <f t="shared" si="176"/>
        <v>373225.848949613</v>
      </c>
      <c r="P1109" s="16">
        <f t="shared" si="177"/>
        <v>375017.724452879</v>
      </c>
      <c r="Q1109" s="16">
        <f t="shared" si="178"/>
        <v>8.78535980148883</v>
      </c>
      <c r="R1109" s="16">
        <f t="shared" si="179"/>
        <v>0.995221891162932</v>
      </c>
      <c r="S1109" s="16">
        <v>87.070091423596</v>
      </c>
    </row>
    <row r="1110" spans="1:19">
      <c r="A1110" s="5" t="s">
        <v>824</v>
      </c>
      <c r="B1110" s="5">
        <v>127.3</v>
      </c>
      <c r="C1110" s="5">
        <v>3</v>
      </c>
      <c r="D1110" s="5">
        <v>1000</v>
      </c>
      <c r="E1110" s="5">
        <v>345.2</v>
      </c>
      <c r="F1110" s="5">
        <v>40.3</v>
      </c>
      <c r="G1110" s="5" t="s">
        <v>20</v>
      </c>
      <c r="H1110" s="5">
        <v>912.1</v>
      </c>
      <c r="I1110" s="14">
        <f t="shared" si="170"/>
        <v>12727.605003323</v>
      </c>
      <c r="J1110" s="15">
        <f t="shared" si="171"/>
        <v>1171.49990052363</v>
      </c>
      <c r="K1110" s="15">
        <f t="shared" si="172"/>
        <v>11556.1051027994</v>
      </c>
      <c r="L1110" s="15">
        <f t="shared" si="173"/>
        <v>0.0920440177250762</v>
      </c>
      <c r="M1110" s="15">
        <f t="shared" si="174"/>
        <v>0.101374977996682</v>
      </c>
      <c r="N1110" s="16">
        <f t="shared" si="175"/>
        <v>42.4333333333333</v>
      </c>
      <c r="O1110" s="16">
        <f t="shared" si="176"/>
        <v>404401.765660758</v>
      </c>
      <c r="P1110" s="16">
        <f t="shared" si="177"/>
        <v>465711.035642816</v>
      </c>
      <c r="Q1110" s="16">
        <f t="shared" si="178"/>
        <v>8.56575682382134</v>
      </c>
      <c r="R1110" s="16">
        <f t="shared" si="179"/>
        <v>0.868353409539817</v>
      </c>
      <c r="S1110" s="16">
        <v>31.4218381775334</v>
      </c>
    </row>
    <row r="1111" spans="1:19">
      <c r="A1111" s="5" t="s">
        <v>825</v>
      </c>
      <c r="B1111" s="5">
        <v>127.3</v>
      </c>
      <c r="C1111" s="5">
        <v>3</v>
      </c>
      <c r="D1111" s="5">
        <v>1500</v>
      </c>
      <c r="E1111" s="5">
        <v>345.2</v>
      </c>
      <c r="F1111" s="5">
        <v>40.3</v>
      </c>
      <c r="G1111" s="5" t="s">
        <v>20</v>
      </c>
      <c r="H1111" s="5">
        <v>848.5</v>
      </c>
      <c r="I1111" s="14">
        <f t="shared" si="170"/>
        <v>12727.605003323</v>
      </c>
      <c r="J1111" s="15">
        <f t="shared" si="171"/>
        <v>1171.49990052363</v>
      </c>
      <c r="K1111" s="15">
        <f t="shared" si="172"/>
        <v>11556.1051027994</v>
      </c>
      <c r="L1111" s="15">
        <f t="shared" si="173"/>
        <v>0.0920440177250762</v>
      </c>
      <c r="M1111" s="15">
        <f t="shared" si="174"/>
        <v>0.101374977996682</v>
      </c>
      <c r="N1111" s="16">
        <f t="shared" si="175"/>
        <v>42.4333333333333</v>
      </c>
      <c r="O1111" s="16">
        <f t="shared" si="176"/>
        <v>404401.765660758</v>
      </c>
      <c r="P1111" s="16">
        <f t="shared" si="177"/>
        <v>465711.035642816</v>
      </c>
      <c r="Q1111" s="16">
        <f t="shared" si="178"/>
        <v>8.56575682382134</v>
      </c>
      <c r="R1111" s="16">
        <f t="shared" si="179"/>
        <v>0.868353409539817</v>
      </c>
      <c r="S1111" s="16">
        <v>47.1327572663001</v>
      </c>
    </row>
    <row r="1112" spans="1:19">
      <c r="A1112" s="5" t="s">
        <v>826</v>
      </c>
      <c r="B1112" s="5">
        <v>127.3</v>
      </c>
      <c r="C1112" s="5">
        <v>3</v>
      </c>
      <c r="D1112" s="5">
        <v>2000</v>
      </c>
      <c r="E1112" s="5">
        <v>345.2</v>
      </c>
      <c r="F1112" s="5">
        <v>40.3</v>
      </c>
      <c r="G1112" s="5" t="s">
        <v>20</v>
      </c>
      <c r="H1112" s="5">
        <v>715.8</v>
      </c>
      <c r="I1112" s="14">
        <f t="shared" si="170"/>
        <v>12727.605003323</v>
      </c>
      <c r="J1112" s="15">
        <f t="shared" si="171"/>
        <v>1171.49990052363</v>
      </c>
      <c r="K1112" s="15">
        <f t="shared" si="172"/>
        <v>11556.1051027994</v>
      </c>
      <c r="L1112" s="15">
        <f t="shared" si="173"/>
        <v>0.0920440177250762</v>
      </c>
      <c r="M1112" s="15">
        <f t="shared" si="174"/>
        <v>0.101374977996682</v>
      </c>
      <c r="N1112" s="16">
        <f t="shared" si="175"/>
        <v>42.4333333333333</v>
      </c>
      <c r="O1112" s="16">
        <f t="shared" si="176"/>
        <v>404401.765660758</v>
      </c>
      <c r="P1112" s="16">
        <f t="shared" si="177"/>
        <v>465711.035642816</v>
      </c>
      <c r="Q1112" s="16">
        <f t="shared" si="178"/>
        <v>8.56575682382134</v>
      </c>
      <c r="R1112" s="16">
        <f t="shared" si="179"/>
        <v>0.868353409539817</v>
      </c>
      <c r="S1112" s="16">
        <v>62.8436763550668</v>
      </c>
    </row>
    <row r="1113" spans="1:19">
      <c r="A1113" s="5" t="s">
        <v>827</v>
      </c>
      <c r="B1113" s="5">
        <v>127.3</v>
      </c>
      <c r="C1113" s="5">
        <v>3</v>
      </c>
      <c r="D1113" s="5">
        <v>2500</v>
      </c>
      <c r="E1113" s="5">
        <v>345.2</v>
      </c>
      <c r="F1113" s="5">
        <v>40.3</v>
      </c>
      <c r="G1113" s="5" t="s">
        <v>20</v>
      </c>
      <c r="H1113" s="5">
        <v>638.8</v>
      </c>
      <c r="I1113" s="14">
        <f t="shared" si="170"/>
        <v>12727.605003323</v>
      </c>
      <c r="J1113" s="15">
        <f t="shared" si="171"/>
        <v>1171.49990052363</v>
      </c>
      <c r="K1113" s="15">
        <f t="shared" si="172"/>
        <v>11556.1051027994</v>
      </c>
      <c r="L1113" s="15">
        <f t="shared" si="173"/>
        <v>0.0920440177250762</v>
      </c>
      <c r="M1113" s="15">
        <f t="shared" si="174"/>
        <v>0.101374977996682</v>
      </c>
      <c r="N1113" s="16">
        <f t="shared" si="175"/>
        <v>42.4333333333333</v>
      </c>
      <c r="O1113" s="16">
        <f t="shared" si="176"/>
        <v>404401.765660758</v>
      </c>
      <c r="P1113" s="16">
        <f t="shared" si="177"/>
        <v>465711.035642816</v>
      </c>
      <c r="Q1113" s="16">
        <f t="shared" si="178"/>
        <v>8.56575682382134</v>
      </c>
      <c r="R1113" s="16">
        <f t="shared" si="179"/>
        <v>0.868353409539817</v>
      </c>
      <c r="S1113" s="16">
        <v>78.5545954438335</v>
      </c>
    </row>
    <row r="1114" spans="1:19">
      <c r="A1114" s="5" t="s">
        <v>828</v>
      </c>
      <c r="B1114" s="5">
        <v>139.2</v>
      </c>
      <c r="C1114" s="5">
        <v>3</v>
      </c>
      <c r="D1114" s="5">
        <v>1000</v>
      </c>
      <c r="E1114" s="5">
        <v>361.95</v>
      </c>
      <c r="F1114" s="5">
        <v>40.3</v>
      </c>
      <c r="G1114" s="5" t="s">
        <v>20</v>
      </c>
      <c r="H1114" s="5">
        <v>1059.8</v>
      </c>
      <c r="I1114" s="14">
        <f t="shared" si="170"/>
        <v>15218.3774688135</v>
      </c>
      <c r="J1114" s="15">
        <f t="shared" si="171"/>
        <v>1283.65475825679</v>
      </c>
      <c r="K1114" s="15">
        <f t="shared" si="172"/>
        <v>13934.7227105567</v>
      </c>
      <c r="L1114" s="15">
        <f t="shared" si="173"/>
        <v>0.0843489892984541</v>
      </c>
      <c r="M1114" s="15">
        <f t="shared" si="174"/>
        <v>0.0921191461732001</v>
      </c>
      <c r="N1114" s="16">
        <f t="shared" si="175"/>
        <v>46.4</v>
      </c>
      <c r="O1114" s="16">
        <f t="shared" si="176"/>
        <v>464618.839751044</v>
      </c>
      <c r="P1114" s="16">
        <f t="shared" si="177"/>
        <v>561569.325235437</v>
      </c>
      <c r="Q1114" s="16">
        <f t="shared" si="178"/>
        <v>8.98138957816377</v>
      </c>
      <c r="R1114" s="16">
        <f t="shared" si="179"/>
        <v>0.827357939389325</v>
      </c>
      <c r="S1114" s="16">
        <v>28.735632183908</v>
      </c>
    </row>
    <row r="1115" spans="1:19">
      <c r="A1115" s="5" t="s">
        <v>829</v>
      </c>
      <c r="B1115" s="5">
        <v>139.2</v>
      </c>
      <c r="C1115" s="5">
        <v>3</v>
      </c>
      <c r="D1115" s="5">
        <v>1500</v>
      </c>
      <c r="E1115" s="5">
        <v>361.95</v>
      </c>
      <c r="F1115" s="5">
        <v>40.3</v>
      </c>
      <c r="G1115" s="5" t="s">
        <v>20</v>
      </c>
      <c r="H1115" s="5">
        <v>941.9</v>
      </c>
      <c r="I1115" s="14">
        <f t="shared" si="170"/>
        <v>15218.3774688135</v>
      </c>
      <c r="J1115" s="15">
        <f t="shared" si="171"/>
        <v>1283.65475825679</v>
      </c>
      <c r="K1115" s="15">
        <f t="shared" si="172"/>
        <v>13934.7227105567</v>
      </c>
      <c r="L1115" s="15">
        <f t="shared" si="173"/>
        <v>0.0843489892984541</v>
      </c>
      <c r="M1115" s="15">
        <f t="shared" si="174"/>
        <v>0.0921191461732001</v>
      </c>
      <c r="N1115" s="16">
        <f t="shared" si="175"/>
        <v>46.4</v>
      </c>
      <c r="O1115" s="16">
        <f t="shared" si="176"/>
        <v>464618.839751044</v>
      </c>
      <c r="P1115" s="16">
        <f t="shared" si="177"/>
        <v>561569.325235437</v>
      </c>
      <c r="Q1115" s="16">
        <f t="shared" si="178"/>
        <v>8.98138957816377</v>
      </c>
      <c r="R1115" s="16">
        <f t="shared" si="179"/>
        <v>0.827357939389325</v>
      </c>
      <c r="S1115" s="16">
        <v>43.1034482758621</v>
      </c>
    </row>
    <row r="1116" spans="1:19">
      <c r="A1116" s="5" t="s">
        <v>830</v>
      </c>
      <c r="B1116" s="5">
        <v>139.2</v>
      </c>
      <c r="C1116" s="5">
        <v>3</v>
      </c>
      <c r="D1116" s="5">
        <v>2000</v>
      </c>
      <c r="E1116" s="5">
        <v>361.95</v>
      </c>
      <c r="F1116" s="5">
        <v>40.3</v>
      </c>
      <c r="G1116" s="5" t="s">
        <v>20</v>
      </c>
      <c r="H1116" s="5">
        <v>868.3</v>
      </c>
      <c r="I1116" s="14">
        <f t="shared" si="170"/>
        <v>15218.3774688135</v>
      </c>
      <c r="J1116" s="15">
        <f t="shared" si="171"/>
        <v>1283.65475825679</v>
      </c>
      <c r="K1116" s="15">
        <f t="shared" si="172"/>
        <v>13934.7227105567</v>
      </c>
      <c r="L1116" s="15">
        <f t="shared" si="173"/>
        <v>0.0843489892984541</v>
      </c>
      <c r="M1116" s="15">
        <f t="shared" si="174"/>
        <v>0.0921191461732001</v>
      </c>
      <c r="N1116" s="16">
        <f t="shared" si="175"/>
        <v>46.4</v>
      </c>
      <c r="O1116" s="16">
        <f t="shared" si="176"/>
        <v>464618.839751044</v>
      </c>
      <c r="P1116" s="16">
        <f t="shared" si="177"/>
        <v>561569.325235437</v>
      </c>
      <c r="Q1116" s="16">
        <f t="shared" si="178"/>
        <v>8.98138957816377</v>
      </c>
      <c r="R1116" s="16">
        <f t="shared" si="179"/>
        <v>0.827357939389325</v>
      </c>
      <c r="S1116" s="16">
        <v>57.4712643678161</v>
      </c>
    </row>
    <row r="1117" spans="1:19">
      <c r="A1117" s="5" t="s">
        <v>831</v>
      </c>
      <c r="B1117" s="5">
        <v>139.2</v>
      </c>
      <c r="C1117" s="5">
        <v>3</v>
      </c>
      <c r="D1117" s="5">
        <v>2500</v>
      </c>
      <c r="E1117" s="5">
        <v>361.95</v>
      </c>
      <c r="F1117" s="5">
        <v>40.3</v>
      </c>
      <c r="G1117" s="5" t="s">
        <v>20</v>
      </c>
      <c r="H1117" s="5">
        <v>750.7</v>
      </c>
      <c r="I1117" s="14">
        <f t="shared" si="170"/>
        <v>15218.3774688135</v>
      </c>
      <c r="J1117" s="15">
        <f t="shared" si="171"/>
        <v>1283.65475825679</v>
      </c>
      <c r="K1117" s="15">
        <f t="shared" si="172"/>
        <v>13934.7227105567</v>
      </c>
      <c r="L1117" s="15">
        <f t="shared" si="173"/>
        <v>0.0843489892984541</v>
      </c>
      <c r="M1117" s="15">
        <f t="shared" si="174"/>
        <v>0.0921191461732001</v>
      </c>
      <c r="N1117" s="16">
        <f t="shared" si="175"/>
        <v>46.4</v>
      </c>
      <c r="O1117" s="16">
        <f t="shared" si="176"/>
        <v>464618.839751044</v>
      </c>
      <c r="P1117" s="16">
        <f t="shared" si="177"/>
        <v>561569.325235437</v>
      </c>
      <c r="Q1117" s="16">
        <f t="shared" si="178"/>
        <v>8.98138957816377</v>
      </c>
      <c r="R1117" s="16">
        <f t="shared" si="179"/>
        <v>0.827357939389325</v>
      </c>
      <c r="S1117" s="16">
        <v>71.8390804597701</v>
      </c>
    </row>
    <row r="1118" spans="1:19">
      <c r="A1118" s="5" t="s">
        <v>519</v>
      </c>
      <c r="B1118" s="5">
        <v>152.4</v>
      </c>
      <c r="C1118" s="5">
        <v>3</v>
      </c>
      <c r="D1118" s="5">
        <v>1000</v>
      </c>
      <c r="E1118" s="5">
        <v>488.2</v>
      </c>
      <c r="F1118" s="5">
        <v>30.9</v>
      </c>
      <c r="G1118" s="5" t="s">
        <v>20</v>
      </c>
      <c r="H1118" s="5">
        <v>1463.3</v>
      </c>
      <c r="I1118" s="14">
        <f t="shared" si="170"/>
        <v>18241.4692475099</v>
      </c>
      <c r="J1118" s="15">
        <f t="shared" si="171"/>
        <v>1408.06182733894</v>
      </c>
      <c r="K1118" s="15">
        <f t="shared" si="172"/>
        <v>16833.407420171</v>
      </c>
      <c r="L1118" s="15">
        <f t="shared" si="173"/>
        <v>0.0771901543803087</v>
      </c>
      <c r="M1118" s="15">
        <f t="shared" si="174"/>
        <v>0.0836468691212039</v>
      </c>
      <c r="N1118" s="16">
        <f t="shared" si="175"/>
        <v>50.8</v>
      </c>
      <c r="O1118" s="16">
        <f t="shared" si="176"/>
        <v>687415.784106873</v>
      </c>
      <c r="P1118" s="16">
        <f t="shared" si="177"/>
        <v>520152.289283283</v>
      </c>
      <c r="Q1118" s="16">
        <f t="shared" si="178"/>
        <v>15.7993527508091</v>
      </c>
      <c r="R1118" s="16">
        <f t="shared" si="179"/>
        <v>1.32156639174666</v>
      </c>
      <c r="S1118" s="16">
        <v>26.246719160105</v>
      </c>
    </row>
    <row r="1119" spans="1:19">
      <c r="A1119" s="5" t="s">
        <v>520</v>
      </c>
      <c r="B1119" s="5">
        <v>152.4</v>
      </c>
      <c r="C1119" s="5">
        <v>3</v>
      </c>
      <c r="D1119" s="5">
        <v>1500</v>
      </c>
      <c r="E1119" s="5">
        <v>488.2</v>
      </c>
      <c r="F1119" s="5">
        <v>30.9</v>
      </c>
      <c r="G1119" s="5" t="s">
        <v>20</v>
      </c>
      <c r="H1119" s="5">
        <v>1209.1</v>
      </c>
      <c r="I1119" s="14">
        <f t="shared" si="170"/>
        <v>18241.4692475099</v>
      </c>
      <c r="J1119" s="15">
        <f t="shared" si="171"/>
        <v>1408.06182733894</v>
      </c>
      <c r="K1119" s="15">
        <f t="shared" si="172"/>
        <v>16833.407420171</v>
      </c>
      <c r="L1119" s="15">
        <f t="shared" si="173"/>
        <v>0.0771901543803087</v>
      </c>
      <c r="M1119" s="15">
        <f t="shared" si="174"/>
        <v>0.0836468691212039</v>
      </c>
      <c r="N1119" s="16">
        <f t="shared" si="175"/>
        <v>50.8</v>
      </c>
      <c r="O1119" s="16">
        <f t="shared" si="176"/>
        <v>687415.784106873</v>
      </c>
      <c r="P1119" s="16">
        <f t="shared" si="177"/>
        <v>520152.289283283</v>
      </c>
      <c r="Q1119" s="16">
        <f t="shared" si="178"/>
        <v>15.7993527508091</v>
      </c>
      <c r="R1119" s="16">
        <f t="shared" si="179"/>
        <v>1.32156639174666</v>
      </c>
      <c r="S1119" s="16">
        <v>39.3700787401575</v>
      </c>
    </row>
    <row r="1120" spans="1:19">
      <c r="A1120" s="5" t="s">
        <v>521</v>
      </c>
      <c r="B1120" s="5">
        <v>152.4</v>
      </c>
      <c r="C1120" s="5">
        <v>3</v>
      </c>
      <c r="D1120" s="5">
        <v>2000</v>
      </c>
      <c r="E1120" s="5">
        <v>488.2</v>
      </c>
      <c r="F1120" s="5">
        <v>30.9</v>
      </c>
      <c r="G1120" s="5" t="s">
        <v>20</v>
      </c>
      <c r="H1120" s="5">
        <v>1167.3</v>
      </c>
      <c r="I1120" s="14">
        <f t="shared" si="170"/>
        <v>18241.4692475099</v>
      </c>
      <c r="J1120" s="15">
        <f t="shared" si="171"/>
        <v>1408.06182733894</v>
      </c>
      <c r="K1120" s="15">
        <f t="shared" si="172"/>
        <v>16833.407420171</v>
      </c>
      <c r="L1120" s="15">
        <f t="shared" si="173"/>
        <v>0.0771901543803087</v>
      </c>
      <c r="M1120" s="15">
        <f t="shared" si="174"/>
        <v>0.0836468691212039</v>
      </c>
      <c r="N1120" s="16">
        <f t="shared" si="175"/>
        <v>50.8</v>
      </c>
      <c r="O1120" s="16">
        <f t="shared" si="176"/>
        <v>687415.784106873</v>
      </c>
      <c r="P1120" s="16">
        <f t="shared" si="177"/>
        <v>520152.289283283</v>
      </c>
      <c r="Q1120" s="16">
        <f t="shared" si="178"/>
        <v>15.7993527508091</v>
      </c>
      <c r="R1120" s="16">
        <f t="shared" si="179"/>
        <v>1.32156639174666</v>
      </c>
      <c r="S1120" s="16">
        <v>52.49343832021</v>
      </c>
    </row>
    <row r="1121" spans="1:19">
      <c r="A1121" s="5" t="s">
        <v>832</v>
      </c>
      <c r="B1121" s="5">
        <v>152.4</v>
      </c>
      <c r="C1121" s="5">
        <v>3</v>
      </c>
      <c r="D1121" s="5">
        <v>2500</v>
      </c>
      <c r="E1121" s="5">
        <v>394.3</v>
      </c>
      <c r="F1121" s="5">
        <v>30.9</v>
      </c>
      <c r="G1121" s="5" t="s">
        <v>20</v>
      </c>
      <c r="H1121" s="5">
        <v>968.9</v>
      </c>
      <c r="I1121" s="14">
        <f t="shared" si="170"/>
        <v>18241.4692475099</v>
      </c>
      <c r="J1121" s="15">
        <f t="shared" si="171"/>
        <v>1408.06182733894</v>
      </c>
      <c r="K1121" s="15">
        <f t="shared" si="172"/>
        <v>16833.407420171</v>
      </c>
      <c r="L1121" s="15">
        <f t="shared" si="173"/>
        <v>0.0771901543803087</v>
      </c>
      <c r="M1121" s="15">
        <f t="shared" si="174"/>
        <v>0.0836468691212039</v>
      </c>
      <c r="N1121" s="16">
        <f t="shared" si="175"/>
        <v>50.8</v>
      </c>
      <c r="O1121" s="16">
        <f t="shared" si="176"/>
        <v>555198.778519746</v>
      </c>
      <c r="P1121" s="16">
        <f t="shared" si="177"/>
        <v>520152.289283283</v>
      </c>
      <c r="Q1121" s="16">
        <f t="shared" si="178"/>
        <v>12.7605177993528</v>
      </c>
      <c r="R1121" s="16">
        <f t="shared" si="179"/>
        <v>1.06737736228125</v>
      </c>
      <c r="S1121" s="16">
        <v>65.6167979002625</v>
      </c>
    </row>
    <row r="1122" spans="1:19">
      <c r="A1122" s="5" t="s">
        <v>833</v>
      </c>
      <c r="B1122" s="5">
        <v>165.1</v>
      </c>
      <c r="C1122" s="5">
        <v>3</v>
      </c>
      <c r="D1122" s="5">
        <v>1000</v>
      </c>
      <c r="E1122" s="5">
        <v>438.2</v>
      </c>
      <c r="F1122" s="5">
        <v>30.9</v>
      </c>
      <c r="G1122" s="5" t="s">
        <v>20</v>
      </c>
      <c r="H1122" s="5">
        <v>1549.5</v>
      </c>
      <c r="I1122" s="14">
        <f t="shared" si="170"/>
        <v>21408.3909918693</v>
      </c>
      <c r="J1122" s="15">
        <f t="shared" si="171"/>
        <v>1527.75650744072</v>
      </c>
      <c r="K1122" s="15">
        <f t="shared" si="172"/>
        <v>19880.6344844286</v>
      </c>
      <c r="L1122" s="15">
        <f t="shared" si="173"/>
        <v>0.0713625095889245</v>
      </c>
      <c r="M1122" s="15">
        <f t="shared" si="174"/>
        <v>0.076846466275376</v>
      </c>
      <c r="N1122" s="16">
        <f t="shared" si="175"/>
        <v>55.0333333333333</v>
      </c>
      <c r="O1122" s="16">
        <f t="shared" si="176"/>
        <v>669462.901560522</v>
      </c>
      <c r="P1122" s="16">
        <f t="shared" si="177"/>
        <v>614311.605568842</v>
      </c>
      <c r="Q1122" s="16">
        <f t="shared" si="178"/>
        <v>14.1812297734628</v>
      </c>
      <c r="R1122" s="16">
        <f t="shared" si="179"/>
        <v>1.08977739552977</v>
      </c>
      <c r="S1122" s="16">
        <v>24.2277407631738</v>
      </c>
    </row>
    <row r="1123" spans="1:19">
      <c r="A1123" s="5" t="s">
        <v>834</v>
      </c>
      <c r="B1123" s="5">
        <v>165.1</v>
      </c>
      <c r="C1123" s="5">
        <v>3</v>
      </c>
      <c r="D1123" s="5">
        <v>1500</v>
      </c>
      <c r="E1123" s="5">
        <v>438.2</v>
      </c>
      <c r="F1123" s="5">
        <v>30.9</v>
      </c>
      <c r="G1123" s="5" t="s">
        <v>20</v>
      </c>
      <c r="H1123" s="5">
        <v>1338</v>
      </c>
      <c r="I1123" s="14">
        <f t="shared" si="170"/>
        <v>21408.3909918693</v>
      </c>
      <c r="J1123" s="15">
        <f t="shared" si="171"/>
        <v>1527.75650744072</v>
      </c>
      <c r="K1123" s="15">
        <f t="shared" si="172"/>
        <v>19880.6344844286</v>
      </c>
      <c r="L1123" s="15">
        <f t="shared" si="173"/>
        <v>0.0713625095889245</v>
      </c>
      <c r="M1123" s="15">
        <f t="shared" si="174"/>
        <v>0.076846466275376</v>
      </c>
      <c r="N1123" s="16">
        <f t="shared" si="175"/>
        <v>55.0333333333333</v>
      </c>
      <c r="O1123" s="16">
        <f t="shared" si="176"/>
        <v>669462.901560522</v>
      </c>
      <c r="P1123" s="16">
        <f t="shared" si="177"/>
        <v>614311.605568842</v>
      </c>
      <c r="Q1123" s="16">
        <f t="shared" si="178"/>
        <v>14.1812297734628</v>
      </c>
      <c r="R1123" s="16">
        <f t="shared" si="179"/>
        <v>1.08977739552977</v>
      </c>
      <c r="S1123" s="16">
        <v>36.3416111447608</v>
      </c>
    </row>
    <row r="1124" spans="1:19">
      <c r="A1124" s="5" t="s">
        <v>835</v>
      </c>
      <c r="B1124" s="5">
        <v>165.1</v>
      </c>
      <c r="C1124" s="5">
        <v>3</v>
      </c>
      <c r="D1124" s="5">
        <v>2000</v>
      </c>
      <c r="E1124" s="5">
        <v>438.2</v>
      </c>
      <c r="F1124" s="5">
        <v>30.9</v>
      </c>
      <c r="G1124" s="5" t="s">
        <v>20</v>
      </c>
      <c r="H1124" s="5">
        <v>1234.5</v>
      </c>
      <c r="I1124" s="14">
        <f t="shared" si="170"/>
        <v>21408.3909918693</v>
      </c>
      <c r="J1124" s="15">
        <f t="shared" si="171"/>
        <v>1527.75650744072</v>
      </c>
      <c r="K1124" s="15">
        <f t="shared" si="172"/>
        <v>19880.6344844286</v>
      </c>
      <c r="L1124" s="15">
        <f t="shared" si="173"/>
        <v>0.0713625095889245</v>
      </c>
      <c r="M1124" s="15">
        <f t="shared" si="174"/>
        <v>0.076846466275376</v>
      </c>
      <c r="N1124" s="16">
        <f t="shared" si="175"/>
        <v>55.0333333333333</v>
      </c>
      <c r="O1124" s="16">
        <f t="shared" si="176"/>
        <v>669462.901560522</v>
      </c>
      <c r="P1124" s="16">
        <f t="shared" si="177"/>
        <v>614311.605568842</v>
      </c>
      <c r="Q1124" s="16">
        <f t="shared" si="178"/>
        <v>14.1812297734628</v>
      </c>
      <c r="R1124" s="16">
        <f t="shared" si="179"/>
        <v>1.08977739552977</v>
      </c>
      <c r="S1124" s="16">
        <v>48.4554815263477</v>
      </c>
    </row>
    <row r="1125" spans="1:19">
      <c r="A1125" s="5" t="s">
        <v>836</v>
      </c>
      <c r="B1125" s="5">
        <v>165.1</v>
      </c>
      <c r="C1125" s="5">
        <v>3</v>
      </c>
      <c r="D1125" s="5">
        <v>2500</v>
      </c>
      <c r="E1125" s="5">
        <v>430.3</v>
      </c>
      <c r="F1125" s="5">
        <v>30.9</v>
      </c>
      <c r="G1125" s="5" t="s">
        <v>20</v>
      </c>
      <c r="H1125" s="5">
        <v>1232</v>
      </c>
      <c r="I1125" s="14">
        <f t="shared" si="170"/>
        <v>21408.3909918693</v>
      </c>
      <c r="J1125" s="15">
        <f t="shared" si="171"/>
        <v>1527.75650744072</v>
      </c>
      <c r="K1125" s="15">
        <f t="shared" si="172"/>
        <v>19880.6344844286</v>
      </c>
      <c r="L1125" s="15">
        <f t="shared" si="173"/>
        <v>0.0713625095889245</v>
      </c>
      <c r="M1125" s="15">
        <f t="shared" si="174"/>
        <v>0.076846466275376</v>
      </c>
      <c r="N1125" s="16">
        <f t="shared" si="175"/>
        <v>55.0333333333333</v>
      </c>
      <c r="O1125" s="16">
        <f t="shared" si="176"/>
        <v>657393.625151741</v>
      </c>
      <c r="P1125" s="16">
        <f t="shared" si="177"/>
        <v>614311.605568842</v>
      </c>
      <c r="Q1125" s="16">
        <f t="shared" si="178"/>
        <v>13.9255663430421</v>
      </c>
      <c r="R1125" s="16">
        <f t="shared" si="179"/>
        <v>1.07013056434609</v>
      </c>
      <c r="S1125" s="16">
        <v>60.5693519079346</v>
      </c>
    </row>
    <row r="1126" spans="1:19">
      <c r="A1126" s="5" t="s">
        <v>837</v>
      </c>
      <c r="B1126" s="5">
        <v>193.7</v>
      </c>
      <c r="C1126" s="5">
        <v>3</v>
      </c>
      <c r="D1126" s="5">
        <v>1000</v>
      </c>
      <c r="E1126" s="5">
        <v>398.8</v>
      </c>
      <c r="F1126" s="5">
        <v>30.9</v>
      </c>
      <c r="G1126" s="5" t="s">
        <v>20</v>
      </c>
      <c r="H1126" s="5">
        <v>1999.6</v>
      </c>
      <c r="I1126" s="14">
        <f t="shared" si="170"/>
        <v>29467.8956172416</v>
      </c>
      <c r="J1126" s="15">
        <f t="shared" si="171"/>
        <v>1797.30515711872</v>
      </c>
      <c r="K1126" s="15">
        <f t="shared" si="172"/>
        <v>27670.5904601229</v>
      </c>
      <c r="L1126" s="15">
        <f t="shared" si="173"/>
        <v>0.0609919751469162</v>
      </c>
      <c r="M1126" s="15">
        <f t="shared" si="174"/>
        <v>0.0649536250304772</v>
      </c>
      <c r="N1126" s="16">
        <f t="shared" si="175"/>
        <v>64.5666666666667</v>
      </c>
      <c r="O1126" s="16">
        <f t="shared" si="176"/>
        <v>716765.296658946</v>
      </c>
      <c r="P1126" s="16">
        <f t="shared" si="177"/>
        <v>855021.245217797</v>
      </c>
      <c r="Q1126" s="16">
        <f t="shared" si="178"/>
        <v>12.9061488673139</v>
      </c>
      <c r="R1126" s="16">
        <f t="shared" si="179"/>
        <v>0.838301154115027</v>
      </c>
      <c r="S1126" s="16">
        <v>20.6504904491482</v>
      </c>
    </row>
    <row r="1127" spans="1:19">
      <c r="A1127" s="5" t="s">
        <v>838</v>
      </c>
      <c r="B1127" s="5">
        <v>193.7</v>
      </c>
      <c r="C1127" s="5">
        <v>3.5</v>
      </c>
      <c r="D1127" s="5">
        <v>1500</v>
      </c>
      <c r="E1127" s="5">
        <v>398.8</v>
      </c>
      <c r="F1127" s="5">
        <v>30.9</v>
      </c>
      <c r="G1127" s="5" t="s">
        <v>20</v>
      </c>
      <c r="H1127" s="5">
        <v>1817.1</v>
      </c>
      <c r="I1127" s="14">
        <f t="shared" si="170"/>
        <v>29467.8956172416</v>
      </c>
      <c r="J1127" s="15">
        <f t="shared" si="171"/>
        <v>2091.35822949473</v>
      </c>
      <c r="K1127" s="15">
        <f t="shared" si="172"/>
        <v>27376.5373877469</v>
      </c>
      <c r="L1127" s="15">
        <f t="shared" si="173"/>
        <v>0.0709707356324107</v>
      </c>
      <c r="M1127" s="15">
        <f t="shared" si="174"/>
        <v>0.0763923574363635</v>
      </c>
      <c r="N1127" s="16">
        <f t="shared" si="175"/>
        <v>55.3428571428571</v>
      </c>
      <c r="O1127" s="16">
        <f t="shared" si="176"/>
        <v>834033.661922497</v>
      </c>
      <c r="P1127" s="16">
        <f t="shared" si="177"/>
        <v>845935.005281378</v>
      </c>
      <c r="Q1127" s="16">
        <f t="shared" si="178"/>
        <v>12.9061488673139</v>
      </c>
      <c r="R1127" s="16">
        <f t="shared" si="179"/>
        <v>0.985931137398762</v>
      </c>
      <c r="S1127" s="16">
        <v>30.9757356737223</v>
      </c>
    </row>
    <row r="1128" spans="1:19">
      <c r="A1128" s="5" t="s">
        <v>839</v>
      </c>
      <c r="B1128" s="5">
        <v>193.7</v>
      </c>
      <c r="C1128" s="5">
        <v>3.5</v>
      </c>
      <c r="D1128" s="5">
        <v>2000</v>
      </c>
      <c r="E1128" s="5">
        <v>398.8</v>
      </c>
      <c r="F1128" s="5">
        <v>30.9</v>
      </c>
      <c r="G1128" s="5" t="s">
        <v>20</v>
      </c>
      <c r="H1128" s="5">
        <v>1796.3</v>
      </c>
      <c r="I1128" s="14">
        <f t="shared" si="170"/>
        <v>29467.8956172416</v>
      </c>
      <c r="J1128" s="15">
        <f t="shared" si="171"/>
        <v>2091.35822949473</v>
      </c>
      <c r="K1128" s="15">
        <f t="shared" si="172"/>
        <v>27376.5373877469</v>
      </c>
      <c r="L1128" s="15">
        <f t="shared" si="173"/>
        <v>0.0709707356324107</v>
      </c>
      <c r="M1128" s="15">
        <f t="shared" si="174"/>
        <v>0.0763923574363635</v>
      </c>
      <c r="N1128" s="16">
        <f t="shared" si="175"/>
        <v>55.3428571428571</v>
      </c>
      <c r="O1128" s="16">
        <f t="shared" si="176"/>
        <v>834033.661922497</v>
      </c>
      <c r="P1128" s="16">
        <f t="shared" si="177"/>
        <v>845935.005281378</v>
      </c>
      <c r="Q1128" s="16">
        <f t="shared" si="178"/>
        <v>12.9061488673139</v>
      </c>
      <c r="R1128" s="16">
        <f t="shared" si="179"/>
        <v>0.985931137398762</v>
      </c>
      <c r="S1128" s="16">
        <v>41.3009808982963</v>
      </c>
    </row>
    <row r="1129" spans="1:19">
      <c r="A1129" s="5" t="s">
        <v>840</v>
      </c>
      <c r="B1129" s="5">
        <v>193.7</v>
      </c>
      <c r="C1129" s="5">
        <v>3.5</v>
      </c>
      <c r="D1129" s="5">
        <v>2500</v>
      </c>
      <c r="E1129" s="5">
        <v>392.2</v>
      </c>
      <c r="F1129" s="5">
        <v>30.9</v>
      </c>
      <c r="G1129" s="5" t="s">
        <v>20</v>
      </c>
      <c r="H1129" s="5">
        <v>1620.8</v>
      </c>
      <c r="I1129" s="14">
        <f t="shared" si="170"/>
        <v>29467.8956172416</v>
      </c>
      <c r="J1129" s="15">
        <f t="shared" si="171"/>
        <v>2091.35822949473</v>
      </c>
      <c r="K1129" s="15">
        <f t="shared" si="172"/>
        <v>27376.5373877469</v>
      </c>
      <c r="L1129" s="15">
        <f t="shared" si="173"/>
        <v>0.0709707356324107</v>
      </c>
      <c r="M1129" s="15">
        <f t="shared" si="174"/>
        <v>0.0763923574363635</v>
      </c>
      <c r="N1129" s="16">
        <f t="shared" si="175"/>
        <v>55.3428571428571</v>
      </c>
      <c r="O1129" s="16">
        <f t="shared" si="176"/>
        <v>820230.697607832</v>
      </c>
      <c r="P1129" s="16">
        <f t="shared" si="177"/>
        <v>845935.005281378</v>
      </c>
      <c r="Q1129" s="16">
        <f t="shared" si="178"/>
        <v>12.6925566343042</v>
      </c>
      <c r="R1129" s="16">
        <f t="shared" si="179"/>
        <v>0.969614323189054</v>
      </c>
      <c r="S1129" s="16">
        <v>51.6262261228704</v>
      </c>
    </row>
    <row r="1130" spans="1:19">
      <c r="A1130" s="5" t="s">
        <v>841</v>
      </c>
      <c r="B1130" s="5">
        <v>150</v>
      </c>
      <c r="C1130" s="5">
        <v>3</v>
      </c>
      <c r="D1130" s="5">
        <v>675</v>
      </c>
      <c r="E1130" s="5">
        <v>324.4</v>
      </c>
      <c r="F1130" s="5">
        <v>52.6</v>
      </c>
      <c r="G1130" s="5" t="s">
        <v>265</v>
      </c>
      <c r="H1130" s="5">
        <v>1462</v>
      </c>
      <c r="I1130" s="14">
        <f t="shared" si="170"/>
        <v>17671.4586764426</v>
      </c>
      <c r="J1130" s="15">
        <f t="shared" si="171"/>
        <v>1385.4423602331</v>
      </c>
      <c r="K1130" s="15">
        <f t="shared" si="172"/>
        <v>16286.0163162095</v>
      </c>
      <c r="L1130" s="15">
        <f t="shared" si="173"/>
        <v>0.0784</v>
      </c>
      <c r="M1130" s="15">
        <f t="shared" si="174"/>
        <v>0.0850694444444444</v>
      </c>
      <c r="N1130" s="16">
        <f t="shared" si="175"/>
        <v>50</v>
      </c>
      <c r="O1130" s="16">
        <f t="shared" si="176"/>
        <v>449437.501659617</v>
      </c>
      <c r="P1130" s="16">
        <f t="shared" si="177"/>
        <v>856644.458232619</v>
      </c>
      <c r="Q1130" s="16">
        <f t="shared" si="178"/>
        <v>6.16730038022814</v>
      </c>
      <c r="R1130" s="16">
        <f t="shared" si="179"/>
        <v>0.524648817068019</v>
      </c>
      <c r="S1130" s="16">
        <v>18</v>
      </c>
    </row>
    <row r="1131" spans="1:19">
      <c r="A1131" s="5" t="s">
        <v>842</v>
      </c>
      <c r="B1131" s="5">
        <v>150</v>
      </c>
      <c r="C1131" s="5">
        <v>3</v>
      </c>
      <c r="D1131" s="5">
        <v>900</v>
      </c>
      <c r="E1131" s="5">
        <v>324.4</v>
      </c>
      <c r="F1131" s="5">
        <v>52.6</v>
      </c>
      <c r="G1131" s="5" t="s">
        <v>265</v>
      </c>
      <c r="H1131" s="5">
        <v>1489</v>
      </c>
      <c r="I1131" s="14">
        <f t="shared" si="170"/>
        <v>17671.4586764426</v>
      </c>
      <c r="J1131" s="15">
        <f t="shared" si="171"/>
        <v>1385.4423602331</v>
      </c>
      <c r="K1131" s="15">
        <f t="shared" si="172"/>
        <v>16286.0163162095</v>
      </c>
      <c r="L1131" s="15">
        <f t="shared" si="173"/>
        <v>0.0784</v>
      </c>
      <c r="M1131" s="15">
        <f t="shared" si="174"/>
        <v>0.0850694444444444</v>
      </c>
      <c r="N1131" s="16">
        <f t="shared" si="175"/>
        <v>50</v>
      </c>
      <c r="O1131" s="16">
        <f t="shared" si="176"/>
        <v>449437.501659617</v>
      </c>
      <c r="P1131" s="16">
        <f t="shared" si="177"/>
        <v>856644.458232619</v>
      </c>
      <c r="Q1131" s="16">
        <f t="shared" si="178"/>
        <v>6.16730038022814</v>
      </c>
      <c r="R1131" s="16">
        <f t="shared" si="179"/>
        <v>0.524648817068019</v>
      </c>
      <c r="S1131" s="16">
        <v>24</v>
      </c>
    </row>
    <row r="1132" spans="1:19">
      <c r="A1132" s="5">
        <v>1</v>
      </c>
      <c r="B1132" s="5">
        <v>159</v>
      </c>
      <c r="C1132" s="5">
        <v>6</v>
      </c>
      <c r="D1132" s="5">
        <v>2135</v>
      </c>
      <c r="E1132" s="5">
        <v>394</v>
      </c>
      <c r="F1132" s="5">
        <v>37.7</v>
      </c>
      <c r="G1132" s="5" t="s">
        <v>20</v>
      </c>
      <c r="H1132" s="5">
        <v>1414</v>
      </c>
      <c r="I1132" s="14">
        <f t="shared" si="170"/>
        <v>19855.6509688509</v>
      </c>
      <c r="J1132" s="15">
        <f t="shared" si="171"/>
        <v>2883.98205599543</v>
      </c>
      <c r="K1132" s="15">
        <f t="shared" si="172"/>
        <v>16971.6689128555</v>
      </c>
      <c r="L1132" s="15">
        <f t="shared" si="173"/>
        <v>0.145247419010324</v>
      </c>
      <c r="M1132" s="15">
        <f t="shared" si="174"/>
        <v>0.169929196168263</v>
      </c>
      <c r="N1132" s="16">
        <f t="shared" si="175"/>
        <v>26.5</v>
      </c>
      <c r="O1132" s="16">
        <f t="shared" si="176"/>
        <v>1136288.9300622</v>
      </c>
      <c r="P1132" s="16">
        <f t="shared" si="177"/>
        <v>639831.918014651</v>
      </c>
      <c r="Q1132" s="16">
        <f t="shared" si="178"/>
        <v>10.4509283819629</v>
      </c>
      <c r="R1132" s="16">
        <f t="shared" si="179"/>
        <v>1.77591785915904</v>
      </c>
      <c r="S1132" s="16">
        <v>53.7106918238994</v>
      </c>
    </row>
    <row r="1133" spans="1:19">
      <c r="A1133" s="5">
        <v>13</v>
      </c>
      <c r="B1133" s="5">
        <v>159</v>
      </c>
      <c r="C1133" s="5">
        <v>6</v>
      </c>
      <c r="D1133" s="5">
        <v>2135</v>
      </c>
      <c r="E1133" s="5">
        <v>457</v>
      </c>
      <c r="F1133" s="5">
        <v>120.1</v>
      </c>
      <c r="G1133" s="5" t="s">
        <v>20</v>
      </c>
      <c r="H1133" s="5">
        <v>2792</v>
      </c>
      <c r="I1133" s="14">
        <f t="shared" si="170"/>
        <v>19855.6509688509</v>
      </c>
      <c r="J1133" s="15">
        <f t="shared" si="171"/>
        <v>2883.98205599543</v>
      </c>
      <c r="K1133" s="15">
        <f t="shared" si="172"/>
        <v>16971.6689128555</v>
      </c>
      <c r="L1133" s="15">
        <f t="shared" si="173"/>
        <v>0.145247419010324</v>
      </c>
      <c r="M1133" s="15">
        <f t="shared" si="174"/>
        <v>0.169929196168263</v>
      </c>
      <c r="N1133" s="16">
        <f t="shared" si="175"/>
        <v>26.5</v>
      </c>
      <c r="O1133" s="16">
        <f t="shared" si="176"/>
        <v>1317979.79958991</v>
      </c>
      <c r="P1133" s="16">
        <f t="shared" si="177"/>
        <v>2038297.43643394</v>
      </c>
      <c r="Q1133" s="16">
        <f t="shared" si="178"/>
        <v>3.80516236469609</v>
      </c>
      <c r="R1133" s="16">
        <f t="shared" si="179"/>
        <v>0.646608181922534</v>
      </c>
      <c r="S1133" s="16">
        <v>53.7106918238994</v>
      </c>
    </row>
    <row r="1134" spans="1:19">
      <c r="A1134" s="5">
        <v>14</v>
      </c>
      <c r="B1134" s="5">
        <v>159</v>
      </c>
      <c r="C1134" s="5">
        <v>6</v>
      </c>
      <c r="D1134" s="5">
        <v>2135</v>
      </c>
      <c r="E1134" s="5">
        <v>487</v>
      </c>
      <c r="F1134" s="5">
        <v>116</v>
      </c>
      <c r="G1134" s="5" t="s">
        <v>20</v>
      </c>
      <c r="H1134" s="5">
        <v>2193</v>
      </c>
      <c r="I1134" s="14">
        <f t="shared" si="170"/>
        <v>19855.6509688509</v>
      </c>
      <c r="J1134" s="15">
        <f t="shared" si="171"/>
        <v>2883.98205599543</v>
      </c>
      <c r="K1134" s="15">
        <f t="shared" si="172"/>
        <v>16971.6689128555</v>
      </c>
      <c r="L1134" s="15">
        <f t="shared" si="173"/>
        <v>0.145247419010324</v>
      </c>
      <c r="M1134" s="15">
        <f t="shared" si="174"/>
        <v>0.169929196168263</v>
      </c>
      <c r="N1134" s="16">
        <f t="shared" si="175"/>
        <v>26.5</v>
      </c>
      <c r="O1134" s="16">
        <f t="shared" si="176"/>
        <v>1404499.26126977</v>
      </c>
      <c r="P1134" s="16">
        <f t="shared" si="177"/>
        <v>1968713.59389123</v>
      </c>
      <c r="Q1134" s="16">
        <f t="shared" si="178"/>
        <v>4.19827586206897</v>
      </c>
      <c r="R1134" s="16">
        <f t="shared" si="179"/>
        <v>0.713409642534002</v>
      </c>
      <c r="S1134" s="16">
        <v>53.7106918238994</v>
      </c>
    </row>
    <row r="1135" spans="1:19">
      <c r="A1135" s="5" t="s">
        <v>843</v>
      </c>
      <c r="B1135" s="5">
        <v>114.3</v>
      </c>
      <c r="C1135" s="5">
        <v>2.74</v>
      </c>
      <c r="D1135" s="5">
        <v>600</v>
      </c>
      <c r="E1135" s="5">
        <v>235</v>
      </c>
      <c r="F1135" s="5">
        <v>56.2</v>
      </c>
      <c r="G1135" s="5" t="s">
        <v>20</v>
      </c>
      <c r="H1135" s="5">
        <v>947.75</v>
      </c>
      <c r="I1135" s="14">
        <f t="shared" si="170"/>
        <v>10260.8264517243</v>
      </c>
      <c r="J1135" s="15">
        <f t="shared" si="171"/>
        <v>960.304449430469</v>
      </c>
      <c r="K1135" s="15">
        <f t="shared" si="172"/>
        <v>9300.52200229386</v>
      </c>
      <c r="L1135" s="15">
        <f t="shared" si="173"/>
        <v>0.0935893861911182</v>
      </c>
      <c r="M1135" s="15">
        <f t="shared" si="174"/>
        <v>0.103252747447253</v>
      </c>
      <c r="N1135" s="16">
        <f t="shared" si="175"/>
        <v>41.7153284671533</v>
      </c>
      <c r="O1135" s="16">
        <f t="shared" si="176"/>
        <v>225671.54561616</v>
      </c>
      <c r="P1135" s="16">
        <f t="shared" si="177"/>
        <v>522689.336528915</v>
      </c>
      <c r="Q1135" s="16">
        <f t="shared" si="178"/>
        <v>4.18149466192171</v>
      </c>
      <c r="R1135" s="16">
        <f t="shared" si="179"/>
        <v>0.431750812279439</v>
      </c>
      <c r="S1135" s="16">
        <v>20.997375328084</v>
      </c>
    </row>
    <row r="1136" spans="1:19">
      <c r="A1136" s="5" t="s">
        <v>844</v>
      </c>
      <c r="B1136" s="5">
        <v>114.3</v>
      </c>
      <c r="C1136" s="5">
        <v>2.74</v>
      </c>
      <c r="D1136" s="5">
        <v>600</v>
      </c>
      <c r="E1136" s="5">
        <v>235</v>
      </c>
      <c r="F1136" s="5">
        <v>66.75</v>
      </c>
      <c r="G1136" s="5" t="s">
        <v>20</v>
      </c>
      <c r="H1136" s="5">
        <v>1031.92</v>
      </c>
      <c r="I1136" s="14">
        <f t="shared" si="170"/>
        <v>10260.8264517243</v>
      </c>
      <c r="J1136" s="15">
        <f t="shared" si="171"/>
        <v>960.304449430469</v>
      </c>
      <c r="K1136" s="15">
        <f t="shared" si="172"/>
        <v>9300.52200229386</v>
      </c>
      <c r="L1136" s="15">
        <f t="shared" si="173"/>
        <v>0.0935893861911182</v>
      </c>
      <c r="M1136" s="15">
        <f t="shared" si="174"/>
        <v>0.103252747447253</v>
      </c>
      <c r="N1136" s="16">
        <f t="shared" si="175"/>
        <v>41.7153284671533</v>
      </c>
      <c r="O1136" s="16">
        <f t="shared" si="176"/>
        <v>225671.54561616</v>
      </c>
      <c r="P1136" s="16">
        <f t="shared" si="177"/>
        <v>620809.843653115</v>
      </c>
      <c r="Q1136" s="16">
        <f t="shared" si="178"/>
        <v>3.52059925093633</v>
      </c>
      <c r="R1136" s="16">
        <f t="shared" si="179"/>
        <v>0.363511545319917</v>
      </c>
      <c r="S1136" s="16">
        <v>20.997375328084</v>
      </c>
    </row>
    <row r="1137" spans="1:19">
      <c r="A1137" s="5" t="s">
        <v>845</v>
      </c>
      <c r="B1137" s="5">
        <v>114.3</v>
      </c>
      <c r="C1137" s="5">
        <v>2.74</v>
      </c>
      <c r="D1137" s="5">
        <v>600</v>
      </c>
      <c r="E1137" s="5">
        <v>235</v>
      </c>
      <c r="F1137" s="5">
        <v>107.2</v>
      </c>
      <c r="G1137" s="5" t="s">
        <v>20</v>
      </c>
      <c r="H1137" s="5">
        <v>1296.61</v>
      </c>
      <c r="I1137" s="14">
        <f t="shared" si="170"/>
        <v>10260.8264517243</v>
      </c>
      <c r="J1137" s="15">
        <f t="shared" si="171"/>
        <v>960.304449430469</v>
      </c>
      <c r="K1137" s="15">
        <f t="shared" si="172"/>
        <v>9300.52200229386</v>
      </c>
      <c r="L1137" s="15">
        <f t="shared" si="173"/>
        <v>0.0935893861911182</v>
      </c>
      <c r="M1137" s="15">
        <f t="shared" si="174"/>
        <v>0.103252747447253</v>
      </c>
      <c r="N1137" s="16">
        <f t="shared" si="175"/>
        <v>41.7153284671533</v>
      </c>
      <c r="O1137" s="16">
        <f t="shared" si="176"/>
        <v>225671.54561616</v>
      </c>
      <c r="P1137" s="16">
        <f t="shared" si="177"/>
        <v>997015.958645902</v>
      </c>
      <c r="Q1137" s="16">
        <f t="shared" si="178"/>
        <v>2.19216417910448</v>
      </c>
      <c r="R1137" s="16">
        <f t="shared" si="179"/>
        <v>0.22634697434799</v>
      </c>
      <c r="S1137" s="16">
        <v>20.997375328084</v>
      </c>
    </row>
    <row r="1138" spans="1:19">
      <c r="A1138" s="5" t="s">
        <v>846</v>
      </c>
      <c r="B1138" s="5">
        <v>114.3</v>
      </c>
      <c r="C1138" s="5">
        <v>5.9</v>
      </c>
      <c r="D1138" s="5">
        <v>600</v>
      </c>
      <c r="E1138" s="5">
        <v>355</v>
      </c>
      <c r="F1138" s="5">
        <v>56.2</v>
      </c>
      <c r="G1138" s="5" t="s">
        <v>20</v>
      </c>
      <c r="H1138" s="5">
        <v>1723.19</v>
      </c>
      <c r="I1138" s="14">
        <f t="shared" si="170"/>
        <v>10260.8264517243</v>
      </c>
      <c r="J1138" s="15">
        <f t="shared" si="171"/>
        <v>2009.23699752989</v>
      </c>
      <c r="K1138" s="15">
        <f t="shared" si="172"/>
        <v>8251.58945419444</v>
      </c>
      <c r="L1138" s="15">
        <f t="shared" si="173"/>
        <v>0.195816292867154</v>
      </c>
      <c r="M1138" s="15">
        <f t="shared" si="174"/>
        <v>0.243496966091612</v>
      </c>
      <c r="N1138" s="16">
        <f t="shared" si="175"/>
        <v>19.3728813559322</v>
      </c>
      <c r="O1138" s="16">
        <f t="shared" si="176"/>
        <v>713279.13412311</v>
      </c>
      <c r="P1138" s="16">
        <f t="shared" si="177"/>
        <v>463739.327325728</v>
      </c>
      <c r="Q1138" s="16">
        <f t="shared" si="178"/>
        <v>6.31672597864769</v>
      </c>
      <c r="R1138" s="16">
        <f t="shared" si="179"/>
        <v>1.53810361143278</v>
      </c>
      <c r="S1138" s="16">
        <v>20.997375328084</v>
      </c>
    </row>
    <row r="1139" spans="1:19">
      <c r="A1139" s="5" t="s">
        <v>847</v>
      </c>
      <c r="B1139" s="5">
        <v>114.3</v>
      </c>
      <c r="C1139" s="5">
        <v>5.9</v>
      </c>
      <c r="D1139" s="5">
        <v>600</v>
      </c>
      <c r="E1139" s="5">
        <v>355</v>
      </c>
      <c r="F1139" s="5">
        <v>66.75</v>
      </c>
      <c r="G1139" s="5" t="s">
        <v>20</v>
      </c>
      <c r="H1139" s="5">
        <v>1810.94</v>
      </c>
      <c r="I1139" s="14">
        <f t="shared" si="170"/>
        <v>10260.8264517243</v>
      </c>
      <c r="J1139" s="15">
        <f t="shared" si="171"/>
        <v>2009.23699752989</v>
      </c>
      <c r="K1139" s="15">
        <f t="shared" si="172"/>
        <v>8251.58945419444</v>
      </c>
      <c r="L1139" s="15">
        <f t="shared" si="173"/>
        <v>0.195816292867154</v>
      </c>
      <c r="M1139" s="15">
        <f t="shared" si="174"/>
        <v>0.243496966091612</v>
      </c>
      <c r="N1139" s="16">
        <f t="shared" si="175"/>
        <v>19.3728813559322</v>
      </c>
      <c r="O1139" s="16">
        <f t="shared" si="176"/>
        <v>713279.13412311</v>
      </c>
      <c r="P1139" s="16">
        <f t="shared" si="177"/>
        <v>550793.596067479</v>
      </c>
      <c r="Q1139" s="16">
        <f t="shared" si="178"/>
        <v>5.31835205992509</v>
      </c>
      <c r="R1139" s="16">
        <f t="shared" si="179"/>
        <v>1.29500259119884</v>
      </c>
      <c r="S1139" s="16">
        <v>20.997375328084</v>
      </c>
    </row>
    <row r="1140" spans="1:19">
      <c r="A1140" s="5" t="s">
        <v>848</v>
      </c>
      <c r="B1140" s="5">
        <v>114.3</v>
      </c>
      <c r="C1140" s="5">
        <v>5.9</v>
      </c>
      <c r="D1140" s="5">
        <v>600</v>
      </c>
      <c r="E1140" s="5">
        <v>355</v>
      </c>
      <c r="F1140" s="5">
        <v>107.2</v>
      </c>
      <c r="G1140" s="5" t="s">
        <v>20</v>
      </c>
      <c r="H1140" s="5">
        <v>1968.06</v>
      </c>
      <c r="I1140" s="14">
        <f t="shared" si="170"/>
        <v>10260.8264517243</v>
      </c>
      <c r="J1140" s="15">
        <f t="shared" si="171"/>
        <v>2009.23699752989</v>
      </c>
      <c r="K1140" s="15">
        <f t="shared" si="172"/>
        <v>8251.58945419444</v>
      </c>
      <c r="L1140" s="15">
        <f t="shared" si="173"/>
        <v>0.195816292867154</v>
      </c>
      <c r="M1140" s="15">
        <f t="shared" si="174"/>
        <v>0.243496966091612</v>
      </c>
      <c r="N1140" s="16">
        <f t="shared" si="175"/>
        <v>19.3728813559322</v>
      </c>
      <c r="O1140" s="16">
        <f t="shared" si="176"/>
        <v>713279.13412311</v>
      </c>
      <c r="P1140" s="16">
        <f t="shared" si="177"/>
        <v>884570.389489644</v>
      </c>
      <c r="Q1140" s="16">
        <f t="shared" si="178"/>
        <v>3.3115671641791</v>
      </c>
      <c r="R1140" s="16">
        <f t="shared" si="179"/>
        <v>0.806356557486215</v>
      </c>
      <c r="S1140" s="16">
        <v>20.997375328084</v>
      </c>
    </row>
    <row r="1141" spans="1:19">
      <c r="A1141" s="5" t="s">
        <v>849</v>
      </c>
      <c r="B1141" s="5">
        <v>114.3</v>
      </c>
      <c r="C1141" s="5">
        <v>2.74</v>
      </c>
      <c r="D1141" s="5">
        <v>900</v>
      </c>
      <c r="E1141" s="5">
        <v>235</v>
      </c>
      <c r="F1141" s="5">
        <v>56.2</v>
      </c>
      <c r="G1141" s="5" t="s">
        <v>20</v>
      </c>
      <c r="H1141" s="5">
        <v>877.28</v>
      </c>
      <c r="I1141" s="14">
        <f t="shared" si="170"/>
        <v>10260.8264517243</v>
      </c>
      <c r="J1141" s="15">
        <f t="shared" si="171"/>
        <v>960.304449430469</v>
      </c>
      <c r="K1141" s="15">
        <f t="shared" si="172"/>
        <v>9300.52200229386</v>
      </c>
      <c r="L1141" s="15">
        <f t="shared" si="173"/>
        <v>0.0935893861911182</v>
      </c>
      <c r="M1141" s="15">
        <f t="shared" si="174"/>
        <v>0.103252747447253</v>
      </c>
      <c r="N1141" s="16">
        <f t="shared" si="175"/>
        <v>41.7153284671533</v>
      </c>
      <c r="O1141" s="16">
        <f t="shared" si="176"/>
        <v>225671.54561616</v>
      </c>
      <c r="P1141" s="16">
        <f t="shared" si="177"/>
        <v>522689.336528915</v>
      </c>
      <c r="Q1141" s="16">
        <f t="shared" si="178"/>
        <v>4.18149466192171</v>
      </c>
      <c r="R1141" s="16">
        <f t="shared" si="179"/>
        <v>0.431750812279439</v>
      </c>
      <c r="S1141" s="16">
        <v>31.496062992126</v>
      </c>
    </row>
    <row r="1142" spans="1:19">
      <c r="A1142" s="5" t="s">
        <v>850</v>
      </c>
      <c r="B1142" s="5">
        <v>114.3</v>
      </c>
      <c r="C1142" s="5">
        <v>2.74</v>
      </c>
      <c r="D1142" s="5">
        <v>900</v>
      </c>
      <c r="E1142" s="5">
        <v>235</v>
      </c>
      <c r="F1142" s="5">
        <v>66.75</v>
      </c>
      <c r="G1142" s="5" t="s">
        <v>20</v>
      </c>
      <c r="H1142" s="5">
        <v>983.51</v>
      </c>
      <c r="I1142" s="14">
        <f t="shared" si="170"/>
        <v>10260.8264517243</v>
      </c>
      <c r="J1142" s="15">
        <f t="shared" si="171"/>
        <v>960.304449430469</v>
      </c>
      <c r="K1142" s="15">
        <f t="shared" si="172"/>
        <v>9300.52200229386</v>
      </c>
      <c r="L1142" s="15">
        <f t="shared" si="173"/>
        <v>0.0935893861911182</v>
      </c>
      <c r="M1142" s="15">
        <f t="shared" si="174"/>
        <v>0.103252747447253</v>
      </c>
      <c r="N1142" s="16">
        <f t="shared" si="175"/>
        <v>41.7153284671533</v>
      </c>
      <c r="O1142" s="16">
        <f t="shared" si="176"/>
        <v>225671.54561616</v>
      </c>
      <c r="P1142" s="16">
        <f t="shared" si="177"/>
        <v>620809.843653115</v>
      </c>
      <c r="Q1142" s="16">
        <f t="shared" si="178"/>
        <v>3.52059925093633</v>
      </c>
      <c r="R1142" s="16">
        <f t="shared" si="179"/>
        <v>0.363511545319917</v>
      </c>
      <c r="S1142" s="16">
        <v>31.496062992126</v>
      </c>
    </row>
    <row r="1143" spans="1:19">
      <c r="A1143" s="5" t="s">
        <v>851</v>
      </c>
      <c r="B1143" s="5">
        <v>114.3</v>
      </c>
      <c r="C1143" s="5">
        <v>2.74</v>
      </c>
      <c r="D1143" s="5">
        <v>900</v>
      </c>
      <c r="E1143" s="5">
        <v>235</v>
      </c>
      <c r="F1143" s="5">
        <v>107.2</v>
      </c>
      <c r="G1143" s="5" t="s">
        <v>20</v>
      </c>
      <c r="H1143" s="5">
        <v>1233.24</v>
      </c>
      <c r="I1143" s="14">
        <f t="shared" si="170"/>
        <v>10260.8264517243</v>
      </c>
      <c r="J1143" s="15">
        <f t="shared" si="171"/>
        <v>960.304449430469</v>
      </c>
      <c r="K1143" s="15">
        <f t="shared" si="172"/>
        <v>9300.52200229386</v>
      </c>
      <c r="L1143" s="15">
        <f t="shared" si="173"/>
        <v>0.0935893861911182</v>
      </c>
      <c r="M1143" s="15">
        <f t="shared" si="174"/>
        <v>0.103252747447253</v>
      </c>
      <c r="N1143" s="16">
        <f t="shared" si="175"/>
        <v>41.7153284671533</v>
      </c>
      <c r="O1143" s="16">
        <f t="shared" si="176"/>
        <v>225671.54561616</v>
      </c>
      <c r="P1143" s="16">
        <f t="shared" si="177"/>
        <v>997015.958645902</v>
      </c>
      <c r="Q1143" s="16">
        <f t="shared" si="178"/>
        <v>2.19216417910448</v>
      </c>
      <c r="R1143" s="16">
        <f t="shared" si="179"/>
        <v>0.22634697434799</v>
      </c>
      <c r="S1143" s="16">
        <v>31.496062992126</v>
      </c>
    </row>
    <row r="1144" spans="1:19">
      <c r="A1144" s="5" t="s">
        <v>852</v>
      </c>
      <c r="B1144" s="5">
        <v>114.3</v>
      </c>
      <c r="C1144" s="5">
        <v>5.9</v>
      </c>
      <c r="D1144" s="5">
        <v>900</v>
      </c>
      <c r="E1144" s="5">
        <v>355</v>
      </c>
      <c r="F1144" s="5">
        <v>56.2</v>
      </c>
      <c r="G1144" s="5" t="s">
        <v>20</v>
      </c>
      <c r="H1144" s="5">
        <v>1592.48</v>
      </c>
      <c r="I1144" s="14">
        <f t="shared" si="170"/>
        <v>10260.8264517243</v>
      </c>
      <c r="J1144" s="15">
        <f t="shared" si="171"/>
        <v>2009.23699752989</v>
      </c>
      <c r="K1144" s="15">
        <f t="shared" si="172"/>
        <v>8251.58945419444</v>
      </c>
      <c r="L1144" s="15">
        <f t="shared" si="173"/>
        <v>0.195816292867154</v>
      </c>
      <c r="M1144" s="15">
        <f t="shared" si="174"/>
        <v>0.243496966091612</v>
      </c>
      <c r="N1144" s="16">
        <f t="shared" si="175"/>
        <v>19.3728813559322</v>
      </c>
      <c r="O1144" s="16">
        <f t="shared" si="176"/>
        <v>713279.13412311</v>
      </c>
      <c r="P1144" s="16">
        <f t="shared" si="177"/>
        <v>463739.327325728</v>
      </c>
      <c r="Q1144" s="16">
        <f t="shared" si="178"/>
        <v>6.31672597864769</v>
      </c>
      <c r="R1144" s="16">
        <f t="shared" si="179"/>
        <v>1.53810361143278</v>
      </c>
      <c r="S1144" s="16">
        <v>31.496062992126</v>
      </c>
    </row>
    <row r="1145" spans="1:19">
      <c r="A1145" s="5" t="s">
        <v>853</v>
      </c>
      <c r="B1145" s="5">
        <v>114.3</v>
      </c>
      <c r="C1145" s="5">
        <v>5.9</v>
      </c>
      <c r="D1145" s="5">
        <v>900</v>
      </c>
      <c r="E1145" s="5">
        <v>355</v>
      </c>
      <c r="F1145" s="5">
        <v>66.75</v>
      </c>
      <c r="G1145" s="5" t="s">
        <v>20</v>
      </c>
      <c r="H1145" s="5">
        <v>1713.34</v>
      </c>
      <c r="I1145" s="14">
        <f t="shared" si="170"/>
        <v>10260.8264517243</v>
      </c>
      <c r="J1145" s="15">
        <f t="shared" si="171"/>
        <v>2009.23699752989</v>
      </c>
      <c r="K1145" s="15">
        <f t="shared" si="172"/>
        <v>8251.58945419444</v>
      </c>
      <c r="L1145" s="15">
        <f t="shared" si="173"/>
        <v>0.195816292867154</v>
      </c>
      <c r="M1145" s="15">
        <f t="shared" si="174"/>
        <v>0.243496966091612</v>
      </c>
      <c r="N1145" s="16">
        <f t="shared" si="175"/>
        <v>19.3728813559322</v>
      </c>
      <c r="O1145" s="16">
        <f t="shared" si="176"/>
        <v>713279.13412311</v>
      </c>
      <c r="P1145" s="16">
        <f t="shared" si="177"/>
        <v>550793.596067479</v>
      </c>
      <c r="Q1145" s="16">
        <f t="shared" si="178"/>
        <v>5.31835205992509</v>
      </c>
      <c r="R1145" s="16">
        <f t="shared" si="179"/>
        <v>1.29500259119884</v>
      </c>
      <c r="S1145" s="16">
        <v>31.496062992126</v>
      </c>
    </row>
    <row r="1146" spans="1:19">
      <c r="A1146" s="5" t="s">
        <v>334</v>
      </c>
      <c r="B1146" s="5">
        <v>114.3</v>
      </c>
      <c r="C1146" s="5">
        <v>5.9</v>
      </c>
      <c r="D1146" s="5">
        <v>900</v>
      </c>
      <c r="E1146" s="5">
        <v>355</v>
      </c>
      <c r="F1146" s="5">
        <v>107.2</v>
      </c>
      <c r="G1146" s="5" t="s">
        <v>20</v>
      </c>
      <c r="H1146" s="5">
        <v>1907.29</v>
      </c>
      <c r="I1146" s="14">
        <f t="shared" si="170"/>
        <v>10260.8264517243</v>
      </c>
      <c r="J1146" s="15">
        <f t="shared" si="171"/>
        <v>2009.23699752989</v>
      </c>
      <c r="K1146" s="15">
        <f t="shared" si="172"/>
        <v>8251.58945419444</v>
      </c>
      <c r="L1146" s="15">
        <f t="shared" si="173"/>
        <v>0.195816292867154</v>
      </c>
      <c r="M1146" s="15">
        <f t="shared" si="174"/>
        <v>0.243496966091612</v>
      </c>
      <c r="N1146" s="16">
        <f t="shared" si="175"/>
        <v>19.3728813559322</v>
      </c>
      <c r="O1146" s="16">
        <f t="shared" si="176"/>
        <v>713279.13412311</v>
      </c>
      <c r="P1146" s="16">
        <f t="shared" si="177"/>
        <v>884570.389489644</v>
      </c>
      <c r="Q1146" s="16">
        <f t="shared" si="178"/>
        <v>3.3115671641791</v>
      </c>
      <c r="R1146" s="16">
        <f t="shared" si="179"/>
        <v>0.806356557486215</v>
      </c>
      <c r="S1146" s="16">
        <v>31.496062992126</v>
      </c>
    </row>
    <row r="1147" spans="1:19">
      <c r="A1147" s="5" t="s">
        <v>579</v>
      </c>
      <c r="B1147" s="5">
        <v>152</v>
      </c>
      <c r="C1147" s="5">
        <v>1.7</v>
      </c>
      <c r="D1147" s="5">
        <v>900</v>
      </c>
      <c r="E1147" s="5">
        <v>270</v>
      </c>
      <c r="F1147" s="5">
        <v>73</v>
      </c>
      <c r="G1147" s="5" t="s">
        <v>20</v>
      </c>
      <c r="H1147" s="5">
        <v>1550</v>
      </c>
      <c r="I1147" s="14">
        <f t="shared" si="170"/>
        <v>18145.8391671346</v>
      </c>
      <c r="J1147" s="15">
        <f t="shared" si="171"/>
        <v>802.708338918729</v>
      </c>
      <c r="K1147" s="15">
        <f t="shared" si="172"/>
        <v>17343.1308282159</v>
      </c>
      <c r="L1147" s="15">
        <f t="shared" si="173"/>
        <v>0.0442364958448754</v>
      </c>
      <c r="M1147" s="15">
        <f t="shared" si="174"/>
        <v>0.0462839349405579</v>
      </c>
      <c r="N1147" s="16">
        <f t="shared" si="175"/>
        <v>89.4117647058824</v>
      </c>
      <c r="O1147" s="16">
        <f t="shared" si="176"/>
        <v>216731.251508057</v>
      </c>
      <c r="P1147" s="16">
        <f t="shared" si="177"/>
        <v>1266048.55045976</v>
      </c>
      <c r="Q1147" s="16">
        <f t="shared" si="178"/>
        <v>3.6986301369863</v>
      </c>
      <c r="R1147" s="16">
        <f t="shared" si="179"/>
        <v>0.171187156629461</v>
      </c>
      <c r="S1147" s="16">
        <v>23.6842105263158</v>
      </c>
    </row>
    <row r="1148" spans="1:19">
      <c r="A1148" s="5" t="s">
        <v>854</v>
      </c>
      <c r="B1148" s="5">
        <v>152</v>
      </c>
      <c r="C1148" s="5">
        <v>1.7</v>
      </c>
      <c r="D1148" s="5">
        <v>900</v>
      </c>
      <c r="E1148" s="5">
        <v>270</v>
      </c>
      <c r="F1148" s="5">
        <v>73</v>
      </c>
      <c r="G1148" s="5" t="s">
        <v>20</v>
      </c>
      <c r="H1148" s="5">
        <v>1458</v>
      </c>
      <c r="I1148" s="14">
        <f t="shared" si="170"/>
        <v>18145.8391671346</v>
      </c>
      <c r="J1148" s="15">
        <f t="shared" si="171"/>
        <v>802.708338918729</v>
      </c>
      <c r="K1148" s="15">
        <f t="shared" si="172"/>
        <v>17343.1308282159</v>
      </c>
      <c r="L1148" s="15">
        <f t="shared" si="173"/>
        <v>0.0442364958448754</v>
      </c>
      <c r="M1148" s="15">
        <f t="shared" si="174"/>
        <v>0.0462839349405579</v>
      </c>
      <c r="N1148" s="16">
        <f t="shared" si="175"/>
        <v>89.4117647058824</v>
      </c>
      <c r="O1148" s="16">
        <f t="shared" si="176"/>
        <v>216731.251508057</v>
      </c>
      <c r="P1148" s="16">
        <f t="shared" si="177"/>
        <v>1266048.55045976</v>
      </c>
      <c r="Q1148" s="16">
        <f t="shared" si="178"/>
        <v>3.6986301369863</v>
      </c>
      <c r="R1148" s="16">
        <f t="shared" si="179"/>
        <v>0.171187156629461</v>
      </c>
      <c r="S1148" s="16">
        <v>23.6842105263158</v>
      </c>
    </row>
    <row r="1149" spans="1:19">
      <c r="A1149" s="5" t="s">
        <v>855</v>
      </c>
      <c r="B1149" s="5">
        <v>152</v>
      </c>
      <c r="C1149" s="5">
        <v>1.7</v>
      </c>
      <c r="D1149" s="5">
        <v>660</v>
      </c>
      <c r="E1149" s="5">
        <v>328</v>
      </c>
      <c r="F1149" s="5">
        <v>85</v>
      </c>
      <c r="G1149" s="5" t="s">
        <v>20</v>
      </c>
      <c r="H1149" s="5">
        <v>1863</v>
      </c>
      <c r="I1149" s="14">
        <f t="shared" si="170"/>
        <v>18145.8391671346</v>
      </c>
      <c r="J1149" s="15">
        <f t="shared" si="171"/>
        <v>802.708338918729</v>
      </c>
      <c r="K1149" s="15">
        <f t="shared" si="172"/>
        <v>17343.1308282159</v>
      </c>
      <c r="L1149" s="15">
        <f t="shared" si="173"/>
        <v>0.0442364958448754</v>
      </c>
      <c r="M1149" s="15">
        <f t="shared" si="174"/>
        <v>0.0462839349405579</v>
      </c>
      <c r="N1149" s="16">
        <f t="shared" si="175"/>
        <v>89.4117647058824</v>
      </c>
      <c r="O1149" s="16">
        <f t="shared" si="176"/>
        <v>263288.335165343</v>
      </c>
      <c r="P1149" s="16">
        <f t="shared" si="177"/>
        <v>1474166.12039835</v>
      </c>
      <c r="Q1149" s="16">
        <f t="shared" si="178"/>
        <v>3.85882352941176</v>
      </c>
      <c r="R1149" s="16">
        <f t="shared" si="179"/>
        <v>0.178601537182388</v>
      </c>
      <c r="S1149" s="16">
        <v>17.3684210526316</v>
      </c>
    </row>
    <row r="1150" spans="1:19">
      <c r="A1150" s="5" t="s">
        <v>856</v>
      </c>
      <c r="B1150" s="5">
        <v>152</v>
      </c>
      <c r="C1150" s="5">
        <v>1.7</v>
      </c>
      <c r="D1150" s="5">
        <v>660</v>
      </c>
      <c r="E1150" s="5">
        <v>328</v>
      </c>
      <c r="F1150" s="5">
        <v>85</v>
      </c>
      <c r="G1150" s="5" t="s">
        <v>20</v>
      </c>
      <c r="H1150" s="5">
        <v>1895</v>
      </c>
      <c r="I1150" s="14">
        <f t="shared" si="170"/>
        <v>18145.8391671346</v>
      </c>
      <c r="J1150" s="15">
        <f t="shared" si="171"/>
        <v>802.708338918729</v>
      </c>
      <c r="K1150" s="15">
        <f t="shared" si="172"/>
        <v>17343.1308282159</v>
      </c>
      <c r="L1150" s="15">
        <f t="shared" si="173"/>
        <v>0.0442364958448754</v>
      </c>
      <c r="M1150" s="15">
        <f t="shared" si="174"/>
        <v>0.0462839349405579</v>
      </c>
      <c r="N1150" s="16">
        <f t="shared" si="175"/>
        <v>89.4117647058824</v>
      </c>
      <c r="O1150" s="16">
        <f t="shared" si="176"/>
        <v>263288.335165343</v>
      </c>
      <c r="P1150" s="16">
        <f t="shared" si="177"/>
        <v>1474166.12039835</v>
      </c>
      <c r="Q1150" s="16">
        <f t="shared" si="178"/>
        <v>3.85882352941176</v>
      </c>
      <c r="R1150" s="16">
        <f t="shared" si="179"/>
        <v>0.178601537182388</v>
      </c>
      <c r="S1150" s="16">
        <v>17.3684210526316</v>
      </c>
    </row>
    <row r="1151" spans="1:19">
      <c r="A1151" s="5" t="s">
        <v>857</v>
      </c>
      <c r="B1151" s="5">
        <v>219.1</v>
      </c>
      <c r="C1151" s="5">
        <v>16</v>
      </c>
      <c r="D1151" s="5">
        <v>4195</v>
      </c>
      <c r="E1151" s="5">
        <v>374</v>
      </c>
      <c r="F1151" s="5">
        <v>186</v>
      </c>
      <c r="G1151" s="5" t="s">
        <v>337</v>
      </c>
      <c r="H1151" s="5">
        <v>6402</v>
      </c>
      <c r="I1151" s="14">
        <f t="shared" si="170"/>
        <v>37702.8896082435</v>
      </c>
      <c r="J1151" s="15">
        <f t="shared" si="171"/>
        <v>10208.9194871054</v>
      </c>
      <c r="K1151" s="15">
        <f t="shared" si="172"/>
        <v>27493.9701211381</v>
      </c>
      <c r="L1151" s="15">
        <f t="shared" si="173"/>
        <v>0.270772866302356</v>
      </c>
      <c r="M1151" s="15">
        <f t="shared" si="174"/>
        <v>0.371314853479691</v>
      </c>
      <c r="N1151" s="16">
        <f t="shared" si="175"/>
        <v>13.69375</v>
      </c>
      <c r="O1151" s="16">
        <f t="shared" si="176"/>
        <v>3818135.88817742</v>
      </c>
      <c r="P1151" s="16">
        <f t="shared" si="177"/>
        <v>5113878.44253168</v>
      </c>
      <c r="Q1151" s="16">
        <f t="shared" si="178"/>
        <v>2.01075268817204</v>
      </c>
      <c r="R1151" s="16">
        <f t="shared" si="179"/>
        <v>0.746622339792498</v>
      </c>
      <c r="S1151" s="16">
        <v>76.5860337745322</v>
      </c>
    </row>
    <row r="1152" spans="1:19">
      <c r="A1152" s="5" t="s">
        <v>858</v>
      </c>
      <c r="B1152" s="5">
        <v>273</v>
      </c>
      <c r="C1152" s="5">
        <v>10</v>
      </c>
      <c r="D1152" s="5">
        <v>4195</v>
      </c>
      <c r="E1152" s="5">
        <v>412</v>
      </c>
      <c r="F1152" s="5">
        <v>180</v>
      </c>
      <c r="G1152" s="5" t="s">
        <v>337</v>
      </c>
      <c r="H1152" s="5">
        <v>8648</v>
      </c>
      <c r="I1152" s="14">
        <f t="shared" si="170"/>
        <v>58534.9397198484</v>
      </c>
      <c r="J1152" s="15">
        <f t="shared" si="171"/>
        <v>8262.38867894116</v>
      </c>
      <c r="K1152" s="15">
        <f t="shared" si="172"/>
        <v>50272.5510409073</v>
      </c>
      <c r="L1152" s="15">
        <f t="shared" si="173"/>
        <v>0.141153108186075</v>
      </c>
      <c r="M1152" s="15">
        <f t="shared" si="174"/>
        <v>0.164351888015748</v>
      </c>
      <c r="N1152" s="16">
        <f t="shared" si="175"/>
        <v>27.3</v>
      </c>
      <c r="O1152" s="16">
        <f t="shared" si="176"/>
        <v>3404104.13572376</v>
      </c>
      <c r="P1152" s="16">
        <f t="shared" si="177"/>
        <v>9049059.18736331</v>
      </c>
      <c r="Q1152" s="16">
        <f t="shared" si="178"/>
        <v>2.28888888888889</v>
      </c>
      <c r="R1152" s="16">
        <f t="shared" si="179"/>
        <v>0.376183210347156</v>
      </c>
      <c r="S1152" s="16">
        <v>61.4652014652015</v>
      </c>
    </row>
    <row r="1153" spans="1:19">
      <c r="A1153" s="5" t="s">
        <v>857</v>
      </c>
      <c r="B1153" s="5">
        <v>219.1</v>
      </c>
      <c r="C1153" s="5">
        <v>16</v>
      </c>
      <c r="D1153" s="5">
        <v>4195</v>
      </c>
      <c r="E1153" s="5">
        <v>374</v>
      </c>
      <c r="F1153" s="5">
        <v>186</v>
      </c>
      <c r="G1153" s="5" t="s">
        <v>337</v>
      </c>
      <c r="H1153" s="5">
        <v>6324</v>
      </c>
      <c r="I1153" s="14">
        <f t="shared" si="170"/>
        <v>37702.8896082435</v>
      </c>
      <c r="J1153" s="15">
        <f t="shared" si="171"/>
        <v>10208.9194871054</v>
      </c>
      <c r="K1153" s="15">
        <f t="shared" si="172"/>
        <v>27493.9701211381</v>
      </c>
      <c r="L1153" s="15">
        <f t="shared" si="173"/>
        <v>0.270772866302356</v>
      </c>
      <c r="M1153" s="15">
        <f t="shared" si="174"/>
        <v>0.371314853479691</v>
      </c>
      <c r="N1153" s="16">
        <f t="shared" si="175"/>
        <v>13.69375</v>
      </c>
      <c r="O1153" s="16">
        <f t="shared" si="176"/>
        <v>3818135.88817742</v>
      </c>
      <c r="P1153" s="16">
        <f t="shared" si="177"/>
        <v>5113878.44253168</v>
      </c>
      <c r="Q1153" s="16">
        <f t="shared" si="178"/>
        <v>2.01075268817204</v>
      </c>
      <c r="R1153" s="16">
        <f t="shared" si="179"/>
        <v>0.746622339792498</v>
      </c>
      <c r="S1153" s="16">
        <v>76.5860337745322</v>
      </c>
    </row>
    <row r="1154" spans="1:19">
      <c r="A1154" s="5" t="s">
        <v>858</v>
      </c>
      <c r="B1154" s="5">
        <v>273</v>
      </c>
      <c r="C1154" s="5">
        <v>10</v>
      </c>
      <c r="D1154" s="5">
        <v>4195</v>
      </c>
      <c r="E1154" s="5">
        <v>412</v>
      </c>
      <c r="F1154" s="5">
        <v>180</v>
      </c>
      <c r="G1154" s="5" t="s">
        <v>337</v>
      </c>
      <c r="H1154" s="5">
        <v>8592</v>
      </c>
      <c r="I1154" s="14">
        <f t="shared" si="170"/>
        <v>58534.9397198484</v>
      </c>
      <c r="J1154" s="15">
        <f t="shared" si="171"/>
        <v>8262.38867894116</v>
      </c>
      <c r="K1154" s="15">
        <f t="shared" si="172"/>
        <v>50272.5510409073</v>
      </c>
      <c r="L1154" s="15">
        <f t="shared" si="173"/>
        <v>0.141153108186075</v>
      </c>
      <c r="M1154" s="15">
        <f t="shared" si="174"/>
        <v>0.164351888015748</v>
      </c>
      <c r="N1154" s="16">
        <f t="shared" si="175"/>
        <v>27.3</v>
      </c>
      <c r="O1154" s="16">
        <f t="shared" si="176"/>
        <v>3404104.13572376</v>
      </c>
      <c r="P1154" s="16">
        <f t="shared" si="177"/>
        <v>9049059.18736331</v>
      </c>
      <c r="Q1154" s="16">
        <f t="shared" si="178"/>
        <v>2.28888888888889</v>
      </c>
      <c r="R1154" s="16">
        <f t="shared" si="179"/>
        <v>0.376183210347156</v>
      </c>
      <c r="S1154" s="16">
        <v>61.4652014652015</v>
      </c>
    </row>
    <row r="1155" spans="1:19">
      <c r="A1155" s="5" t="s">
        <v>859</v>
      </c>
      <c r="B1155" s="5">
        <v>44.45</v>
      </c>
      <c r="C1155" s="5">
        <v>1.25</v>
      </c>
      <c r="D1155" s="5">
        <v>700</v>
      </c>
      <c r="E1155" s="5">
        <v>250</v>
      </c>
      <c r="F1155" s="5">
        <v>42.4</v>
      </c>
      <c r="G1155" s="5" t="s">
        <v>860</v>
      </c>
      <c r="H1155" s="5">
        <v>45.2</v>
      </c>
      <c r="I1155" s="14">
        <f t="shared" ref="I1155:I1218" si="180">(PI()*B1155^2)/4</f>
        <v>1551.79165473609</v>
      </c>
      <c r="J1155" s="15">
        <f t="shared" ref="J1155:J1218" si="181">(PI()*(B1155^2-(B1155-2*C1155)^2))/4</f>
        <v>169.646003293849</v>
      </c>
      <c r="K1155" s="15">
        <f t="shared" ref="K1155:K1218" si="182">(PI()*(B1155-2*C1155)^2)/4</f>
        <v>1382.14565144224</v>
      </c>
      <c r="L1155" s="15">
        <f t="shared" ref="L1155:L1218" si="183">J1155/I1155</f>
        <v>0.109322667624927</v>
      </c>
      <c r="M1155" s="15">
        <f t="shared" ref="M1155:M1218" si="184">J1155/K1155</f>
        <v>0.122741046225358</v>
      </c>
      <c r="N1155" s="16">
        <f t="shared" ref="N1155:N1218" si="185">B1155/C1155</f>
        <v>35.56</v>
      </c>
      <c r="O1155" s="16">
        <f t="shared" ref="O1155:O1218" si="186">J1155*E1155</f>
        <v>42411.5008234622</v>
      </c>
      <c r="P1155" s="16">
        <f t="shared" ref="P1155:P1218" si="187">K1155*F1155</f>
        <v>58602.9756211509</v>
      </c>
      <c r="Q1155" s="16">
        <f t="shared" ref="Q1155:Q1218" si="188">E1155/F1155</f>
        <v>5.89622641509434</v>
      </c>
      <c r="R1155" s="16">
        <f t="shared" ref="R1155:R1218" si="189">O1155/P1155</f>
        <v>0.723708998970269</v>
      </c>
      <c r="S1155" s="16">
        <v>62.992125984252</v>
      </c>
    </row>
    <row r="1156" spans="1:19">
      <c r="A1156" s="5" t="s">
        <v>861</v>
      </c>
      <c r="B1156" s="5">
        <v>44.45</v>
      </c>
      <c r="C1156" s="5">
        <v>1.6</v>
      </c>
      <c r="D1156" s="5">
        <v>700</v>
      </c>
      <c r="E1156" s="5">
        <v>250</v>
      </c>
      <c r="F1156" s="5">
        <v>42.4</v>
      </c>
      <c r="G1156" s="5" t="s">
        <v>860</v>
      </c>
      <c r="H1156" s="5">
        <v>69.4</v>
      </c>
      <c r="I1156" s="14">
        <f t="shared" si="180"/>
        <v>1551.79165473609</v>
      </c>
      <c r="J1156" s="15">
        <f t="shared" si="181"/>
        <v>215.387592330116</v>
      </c>
      <c r="K1156" s="15">
        <f t="shared" si="182"/>
        <v>1336.40406240597</v>
      </c>
      <c r="L1156" s="15">
        <f t="shared" si="183"/>
        <v>0.138799298006759</v>
      </c>
      <c r="M1156" s="15">
        <f t="shared" si="184"/>
        <v>0.161169513314968</v>
      </c>
      <c r="N1156" s="16">
        <f t="shared" si="185"/>
        <v>27.78125</v>
      </c>
      <c r="O1156" s="16">
        <f t="shared" si="186"/>
        <v>53846.8980825291</v>
      </c>
      <c r="P1156" s="16">
        <f t="shared" si="187"/>
        <v>56663.5322460132</v>
      </c>
      <c r="Q1156" s="16">
        <f t="shared" si="188"/>
        <v>5.89622641509434</v>
      </c>
      <c r="R1156" s="16">
        <f t="shared" si="189"/>
        <v>0.950291941715613</v>
      </c>
      <c r="S1156" s="16">
        <v>62.992125984252</v>
      </c>
    </row>
    <row r="1157" spans="1:19">
      <c r="A1157" s="5" t="s">
        <v>862</v>
      </c>
      <c r="B1157" s="5">
        <v>44.45</v>
      </c>
      <c r="C1157" s="5">
        <v>2</v>
      </c>
      <c r="D1157" s="5">
        <v>700</v>
      </c>
      <c r="E1157" s="5">
        <v>250</v>
      </c>
      <c r="F1157" s="5">
        <v>42.4</v>
      </c>
      <c r="G1157" s="5" t="s">
        <v>860</v>
      </c>
      <c r="H1157" s="5">
        <v>82</v>
      </c>
      <c r="I1157" s="14">
        <f t="shared" si="180"/>
        <v>1551.79165473609</v>
      </c>
      <c r="J1157" s="15">
        <f t="shared" si="181"/>
        <v>266.721216289773</v>
      </c>
      <c r="K1157" s="15">
        <f t="shared" si="182"/>
        <v>1285.07043844631</v>
      </c>
      <c r="L1157" s="15">
        <f t="shared" si="183"/>
        <v>0.171879527432524</v>
      </c>
      <c r="M1157" s="15">
        <f t="shared" si="184"/>
        <v>0.207553771614455</v>
      </c>
      <c r="N1157" s="16">
        <f t="shared" si="185"/>
        <v>22.225</v>
      </c>
      <c r="O1157" s="16">
        <f t="shared" si="186"/>
        <v>66680.3040724433</v>
      </c>
      <c r="P1157" s="16">
        <f t="shared" si="187"/>
        <v>54486.9865901237</v>
      </c>
      <c r="Q1157" s="16">
        <f t="shared" si="188"/>
        <v>5.89622641509434</v>
      </c>
      <c r="R1157" s="16">
        <f t="shared" si="189"/>
        <v>1.22378403074561</v>
      </c>
      <c r="S1157" s="16">
        <v>62.992125984252</v>
      </c>
    </row>
    <row r="1158" spans="1:19">
      <c r="A1158" s="5" t="s">
        <v>863</v>
      </c>
      <c r="B1158" s="5">
        <v>44.45</v>
      </c>
      <c r="C1158" s="5">
        <v>1.25</v>
      </c>
      <c r="D1158" s="5">
        <v>700</v>
      </c>
      <c r="E1158" s="5">
        <v>250</v>
      </c>
      <c r="F1158" s="5">
        <v>51.7</v>
      </c>
      <c r="G1158" s="5" t="s">
        <v>860</v>
      </c>
      <c r="H1158" s="5">
        <v>68.6</v>
      </c>
      <c r="I1158" s="14">
        <f t="shared" si="180"/>
        <v>1551.79165473609</v>
      </c>
      <c r="J1158" s="15">
        <f t="shared" si="181"/>
        <v>169.646003293849</v>
      </c>
      <c r="K1158" s="15">
        <f t="shared" si="182"/>
        <v>1382.14565144224</v>
      </c>
      <c r="L1158" s="15">
        <f t="shared" si="183"/>
        <v>0.109322667624927</v>
      </c>
      <c r="M1158" s="15">
        <f t="shared" si="184"/>
        <v>0.122741046225358</v>
      </c>
      <c r="N1158" s="16">
        <f t="shared" si="185"/>
        <v>35.56</v>
      </c>
      <c r="O1158" s="16">
        <f t="shared" si="186"/>
        <v>42411.5008234622</v>
      </c>
      <c r="P1158" s="16">
        <f t="shared" si="187"/>
        <v>71456.9301795637</v>
      </c>
      <c r="Q1158" s="16">
        <f t="shared" si="188"/>
        <v>4.83558994197292</v>
      </c>
      <c r="R1158" s="16">
        <f t="shared" si="189"/>
        <v>0.593525368594573</v>
      </c>
      <c r="S1158" s="16">
        <v>62.992125984252</v>
      </c>
    </row>
    <row r="1159" spans="1:19">
      <c r="A1159" s="5" t="s">
        <v>864</v>
      </c>
      <c r="B1159" s="5">
        <v>44.45</v>
      </c>
      <c r="C1159" s="5">
        <v>1.6</v>
      </c>
      <c r="D1159" s="5">
        <v>700</v>
      </c>
      <c r="E1159" s="5">
        <v>250</v>
      </c>
      <c r="F1159" s="5">
        <v>51.7</v>
      </c>
      <c r="G1159" s="5" t="s">
        <v>860</v>
      </c>
      <c r="H1159" s="5">
        <v>86.5</v>
      </c>
      <c r="I1159" s="14">
        <f t="shared" si="180"/>
        <v>1551.79165473609</v>
      </c>
      <c r="J1159" s="15">
        <f t="shared" si="181"/>
        <v>215.387592330116</v>
      </c>
      <c r="K1159" s="15">
        <f t="shared" si="182"/>
        <v>1336.40406240597</v>
      </c>
      <c r="L1159" s="15">
        <f t="shared" si="183"/>
        <v>0.138799298006759</v>
      </c>
      <c r="M1159" s="15">
        <f t="shared" si="184"/>
        <v>0.161169513314968</v>
      </c>
      <c r="N1159" s="16">
        <f t="shared" si="185"/>
        <v>27.78125</v>
      </c>
      <c r="O1159" s="16">
        <f t="shared" si="186"/>
        <v>53846.8980825291</v>
      </c>
      <c r="P1159" s="16">
        <f t="shared" si="187"/>
        <v>69092.0900263887</v>
      </c>
      <c r="Q1159" s="16">
        <f t="shared" si="188"/>
        <v>4.83558994197292</v>
      </c>
      <c r="R1159" s="16">
        <f t="shared" si="189"/>
        <v>0.77934967753853</v>
      </c>
      <c r="S1159" s="16">
        <v>62.992125984252</v>
      </c>
    </row>
    <row r="1160" spans="1:19">
      <c r="A1160" s="5" t="s">
        <v>865</v>
      </c>
      <c r="B1160" s="5">
        <v>44.45</v>
      </c>
      <c r="C1160" s="5">
        <v>2</v>
      </c>
      <c r="D1160" s="5">
        <v>700</v>
      </c>
      <c r="E1160" s="5">
        <v>250</v>
      </c>
      <c r="F1160" s="5">
        <v>51.7</v>
      </c>
      <c r="G1160" s="5" t="s">
        <v>860</v>
      </c>
      <c r="H1160" s="5">
        <v>104.8</v>
      </c>
      <c r="I1160" s="14">
        <f t="shared" si="180"/>
        <v>1551.79165473609</v>
      </c>
      <c r="J1160" s="15">
        <f t="shared" si="181"/>
        <v>266.721216289773</v>
      </c>
      <c r="K1160" s="15">
        <f t="shared" si="182"/>
        <v>1285.07043844631</v>
      </c>
      <c r="L1160" s="15">
        <f t="shared" si="183"/>
        <v>0.171879527432524</v>
      </c>
      <c r="M1160" s="15">
        <f t="shared" si="184"/>
        <v>0.207553771614455</v>
      </c>
      <c r="N1160" s="16">
        <f t="shared" si="185"/>
        <v>22.225</v>
      </c>
      <c r="O1160" s="16">
        <f t="shared" si="186"/>
        <v>66680.3040724433</v>
      </c>
      <c r="P1160" s="16">
        <f t="shared" si="187"/>
        <v>66438.1416676744</v>
      </c>
      <c r="Q1160" s="16">
        <f t="shared" si="188"/>
        <v>4.83558994197292</v>
      </c>
      <c r="R1160" s="16">
        <f t="shared" si="189"/>
        <v>1.0036449304374</v>
      </c>
      <c r="S1160" s="16">
        <v>62.992125984252</v>
      </c>
    </row>
    <row r="1161" spans="1:19">
      <c r="A1161" s="5" t="s">
        <v>866</v>
      </c>
      <c r="B1161" s="5">
        <v>44.45</v>
      </c>
      <c r="C1161" s="5">
        <v>1.25</v>
      </c>
      <c r="D1161" s="5">
        <v>700</v>
      </c>
      <c r="E1161" s="5">
        <v>250</v>
      </c>
      <c r="F1161" s="5">
        <v>60.7</v>
      </c>
      <c r="G1161" s="5" t="s">
        <v>860</v>
      </c>
      <c r="H1161" s="5">
        <v>85.4</v>
      </c>
      <c r="I1161" s="14">
        <f t="shared" si="180"/>
        <v>1551.79165473609</v>
      </c>
      <c r="J1161" s="15">
        <f t="shared" si="181"/>
        <v>169.646003293849</v>
      </c>
      <c r="K1161" s="15">
        <f t="shared" si="182"/>
        <v>1382.14565144224</v>
      </c>
      <c r="L1161" s="15">
        <f t="shared" si="183"/>
        <v>0.109322667624927</v>
      </c>
      <c r="M1161" s="15">
        <f t="shared" si="184"/>
        <v>0.122741046225358</v>
      </c>
      <c r="N1161" s="16">
        <f t="shared" si="185"/>
        <v>35.56</v>
      </c>
      <c r="O1161" s="16">
        <f t="shared" si="186"/>
        <v>42411.5008234622</v>
      </c>
      <c r="P1161" s="16">
        <f t="shared" si="187"/>
        <v>83896.2410425439</v>
      </c>
      <c r="Q1161" s="16">
        <f t="shared" si="188"/>
        <v>4.11861614497529</v>
      </c>
      <c r="R1161" s="16">
        <f t="shared" si="189"/>
        <v>0.505523254634916</v>
      </c>
      <c r="S1161" s="16">
        <v>62.992125984252</v>
      </c>
    </row>
    <row r="1162" spans="1:19">
      <c r="A1162" s="5" t="s">
        <v>867</v>
      </c>
      <c r="B1162" s="5">
        <v>44.45</v>
      </c>
      <c r="C1162" s="5">
        <v>1.6</v>
      </c>
      <c r="D1162" s="5">
        <v>700</v>
      </c>
      <c r="E1162" s="5">
        <v>250</v>
      </c>
      <c r="F1162" s="5">
        <v>60.7</v>
      </c>
      <c r="G1162" s="5" t="s">
        <v>860</v>
      </c>
      <c r="H1162" s="5">
        <v>101</v>
      </c>
      <c r="I1162" s="14">
        <f t="shared" si="180"/>
        <v>1551.79165473609</v>
      </c>
      <c r="J1162" s="15">
        <f t="shared" si="181"/>
        <v>215.387592330116</v>
      </c>
      <c r="K1162" s="15">
        <f t="shared" si="182"/>
        <v>1336.40406240597</v>
      </c>
      <c r="L1162" s="15">
        <f t="shared" si="183"/>
        <v>0.138799298006759</v>
      </c>
      <c r="M1162" s="15">
        <f t="shared" si="184"/>
        <v>0.161169513314968</v>
      </c>
      <c r="N1162" s="16">
        <f t="shared" si="185"/>
        <v>27.78125</v>
      </c>
      <c r="O1162" s="16">
        <f t="shared" si="186"/>
        <v>53846.8980825291</v>
      </c>
      <c r="P1162" s="16">
        <f t="shared" si="187"/>
        <v>81119.7265880424</v>
      </c>
      <c r="Q1162" s="16">
        <f t="shared" si="188"/>
        <v>4.11861614497529</v>
      </c>
      <c r="R1162" s="16">
        <f t="shared" si="189"/>
        <v>0.663795359616837</v>
      </c>
      <c r="S1162" s="16">
        <v>62.992125984252</v>
      </c>
    </row>
    <row r="1163" spans="1:19">
      <c r="A1163" s="5" t="s">
        <v>868</v>
      </c>
      <c r="B1163" s="5">
        <v>44.45</v>
      </c>
      <c r="C1163" s="5">
        <v>2</v>
      </c>
      <c r="D1163" s="5">
        <v>700</v>
      </c>
      <c r="E1163" s="5">
        <v>250</v>
      </c>
      <c r="F1163" s="5">
        <v>60.7</v>
      </c>
      <c r="G1163" s="5" t="s">
        <v>860</v>
      </c>
      <c r="H1163" s="5">
        <v>124</v>
      </c>
      <c r="I1163" s="14">
        <f t="shared" si="180"/>
        <v>1551.79165473609</v>
      </c>
      <c r="J1163" s="15">
        <f t="shared" si="181"/>
        <v>266.721216289773</v>
      </c>
      <c r="K1163" s="15">
        <f t="shared" si="182"/>
        <v>1285.07043844631</v>
      </c>
      <c r="L1163" s="15">
        <f t="shared" si="183"/>
        <v>0.171879527432524</v>
      </c>
      <c r="M1163" s="15">
        <f t="shared" si="184"/>
        <v>0.207553771614455</v>
      </c>
      <c r="N1163" s="16">
        <f t="shared" si="185"/>
        <v>22.225</v>
      </c>
      <c r="O1163" s="16">
        <f t="shared" si="186"/>
        <v>66680.3040724433</v>
      </c>
      <c r="P1163" s="16">
        <f t="shared" si="187"/>
        <v>78003.7756136912</v>
      </c>
      <c r="Q1163" s="16">
        <f t="shared" si="188"/>
        <v>4.11861614497529</v>
      </c>
      <c r="R1163" s="16">
        <f t="shared" si="189"/>
        <v>0.854834314721807</v>
      </c>
      <c r="S1163" s="16">
        <v>62.992125984252</v>
      </c>
    </row>
    <row r="1164" spans="1:19">
      <c r="A1164" s="5" t="s">
        <v>869</v>
      </c>
      <c r="B1164" s="5">
        <v>57.15</v>
      </c>
      <c r="C1164" s="5">
        <v>1.25</v>
      </c>
      <c r="D1164" s="5">
        <v>700</v>
      </c>
      <c r="E1164" s="5">
        <v>250</v>
      </c>
      <c r="F1164" s="5">
        <v>42.4</v>
      </c>
      <c r="G1164" s="5" t="s">
        <v>860</v>
      </c>
      <c r="H1164" s="5">
        <v>119.8</v>
      </c>
      <c r="I1164" s="14">
        <f t="shared" si="180"/>
        <v>2565.20661293108</v>
      </c>
      <c r="J1164" s="15">
        <f t="shared" si="181"/>
        <v>219.518786669587</v>
      </c>
      <c r="K1164" s="15">
        <f t="shared" si="182"/>
        <v>2345.6878262615</v>
      </c>
      <c r="L1164" s="15">
        <f t="shared" si="183"/>
        <v>0.0855754797929349</v>
      </c>
      <c r="M1164" s="15">
        <f t="shared" si="184"/>
        <v>0.0935839732004966</v>
      </c>
      <c r="N1164" s="16">
        <f t="shared" si="185"/>
        <v>45.72</v>
      </c>
      <c r="O1164" s="16">
        <f t="shared" si="186"/>
        <v>54879.6966673967</v>
      </c>
      <c r="P1164" s="16">
        <f t="shared" si="187"/>
        <v>99457.1638334874</v>
      </c>
      <c r="Q1164" s="16">
        <f t="shared" si="188"/>
        <v>5.89622641509434</v>
      </c>
      <c r="R1164" s="16">
        <f t="shared" si="189"/>
        <v>0.551792294814249</v>
      </c>
      <c r="S1164" s="16">
        <v>48.9938757655293</v>
      </c>
    </row>
    <row r="1165" spans="1:19">
      <c r="A1165" s="5" t="s">
        <v>870</v>
      </c>
      <c r="B1165" s="5">
        <v>57.15</v>
      </c>
      <c r="C1165" s="5">
        <v>1.6</v>
      </c>
      <c r="D1165" s="5">
        <v>700</v>
      </c>
      <c r="E1165" s="5">
        <v>250</v>
      </c>
      <c r="F1165" s="5">
        <v>42.4</v>
      </c>
      <c r="G1165" s="5" t="s">
        <v>860</v>
      </c>
      <c r="H1165" s="5">
        <v>135</v>
      </c>
      <c r="I1165" s="14">
        <f t="shared" si="180"/>
        <v>2565.20661293108</v>
      </c>
      <c r="J1165" s="15">
        <f t="shared" si="181"/>
        <v>279.224755051061</v>
      </c>
      <c r="K1165" s="15">
        <f t="shared" si="182"/>
        <v>2285.98185788002</v>
      </c>
      <c r="L1165" s="15">
        <f t="shared" si="183"/>
        <v>0.108850785602806</v>
      </c>
      <c r="M1165" s="15">
        <f t="shared" si="184"/>
        <v>0.1221465315171</v>
      </c>
      <c r="N1165" s="16">
        <f t="shared" si="185"/>
        <v>35.71875</v>
      </c>
      <c r="O1165" s="16">
        <f t="shared" si="186"/>
        <v>69806.1887627653</v>
      </c>
      <c r="P1165" s="16">
        <f t="shared" si="187"/>
        <v>96925.6307741129</v>
      </c>
      <c r="Q1165" s="16">
        <f t="shared" si="188"/>
        <v>5.89622641509434</v>
      </c>
      <c r="R1165" s="16">
        <f t="shared" si="189"/>
        <v>0.720203605643279</v>
      </c>
      <c r="S1165" s="16">
        <v>48.9938757655293</v>
      </c>
    </row>
    <row r="1166" spans="1:19">
      <c r="A1166" s="5" t="s">
        <v>871</v>
      </c>
      <c r="B1166" s="5">
        <v>57.15</v>
      </c>
      <c r="C1166" s="5">
        <v>2</v>
      </c>
      <c r="D1166" s="5">
        <v>700</v>
      </c>
      <c r="E1166" s="5">
        <v>250</v>
      </c>
      <c r="F1166" s="5">
        <v>42.4</v>
      </c>
      <c r="G1166" s="5" t="s">
        <v>860</v>
      </c>
      <c r="H1166" s="5">
        <v>144.3</v>
      </c>
      <c r="I1166" s="14">
        <f t="shared" si="180"/>
        <v>2565.20661293108</v>
      </c>
      <c r="J1166" s="15">
        <f t="shared" si="181"/>
        <v>346.517669690954</v>
      </c>
      <c r="K1166" s="15">
        <f t="shared" si="182"/>
        <v>2218.68894324013</v>
      </c>
      <c r="L1166" s="15">
        <f t="shared" si="183"/>
        <v>0.135083726957577</v>
      </c>
      <c r="M1166" s="15">
        <f t="shared" si="184"/>
        <v>0.156181275769512</v>
      </c>
      <c r="N1166" s="16">
        <f t="shared" si="185"/>
        <v>28.575</v>
      </c>
      <c r="O1166" s="16">
        <f t="shared" si="186"/>
        <v>86629.4174227386</v>
      </c>
      <c r="P1166" s="16">
        <f t="shared" si="187"/>
        <v>94072.4111933814</v>
      </c>
      <c r="Q1166" s="16">
        <f t="shared" si="188"/>
        <v>5.89622641509434</v>
      </c>
      <c r="R1166" s="16">
        <f t="shared" si="189"/>
        <v>0.920880163735332</v>
      </c>
      <c r="S1166" s="16">
        <v>48.9938757655293</v>
      </c>
    </row>
    <row r="1167" spans="1:19">
      <c r="A1167" s="5" t="s">
        <v>863</v>
      </c>
      <c r="B1167" s="5">
        <v>57.15</v>
      </c>
      <c r="C1167" s="5">
        <v>1.25</v>
      </c>
      <c r="D1167" s="5">
        <v>700</v>
      </c>
      <c r="E1167" s="5">
        <v>250</v>
      </c>
      <c r="F1167" s="5">
        <v>51.7</v>
      </c>
      <c r="G1167" s="5" t="s">
        <v>860</v>
      </c>
      <c r="H1167" s="5">
        <v>151.6</v>
      </c>
      <c r="I1167" s="14">
        <f t="shared" si="180"/>
        <v>2565.20661293108</v>
      </c>
      <c r="J1167" s="15">
        <f t="shared" si="181"/>
        <v>219.518786669587</v>
      </c>
      <c r="K1167" s="15">
        <f t="shared" si="182"/>
        <v>2345.6878262615</v>
      </c>
      <c r="L1167" s="15">
        <f t="shared" si="183"/>
        <v>0.0855754797929349</v>
      </c>
      <c r="M1167" s="15">
        <f t="shared" si="184"/>
        <v>0.0935839732004966</v>
      </c>
      <c r="N1167" s="16">
        <f t="shared" si="185"/>
        <v>45.72</v>
      </c>
      <c r="O1167" s="16">
        <f t="shared" si="186"/>
        <v>54879.6966673967</v>
      </c>
      <c r="P1167" s="16">
        <f t="shared" si="187"/>
        <v>121272.060617719</v>
      </c>
      <c r="Q1167" s="16">
        <f t="shared" si="188"/>
        <v>4.83558994197292</v>
      </c>
      <c r="R1167" s="16">
        <f t="shared" si="189"/>
        <v>0.452533719538184</v>
      </c>
      <c r="S1167" s="16">
        <v>48.9938757655293</v>
      </c>
    </row>
    <row r="1168" spans="1:19">
      <c r="A1168" s="5" t="s">
        <v>872</v>
      </c>
      <c r="B1168" s="5">
        <v>57.15</v>
      </c>
      <c r="C1168" s="5">
        <v>1.6</v>
      </c>
      <c r="D1168" s="5">
        <v>700</v>
      </c>
      <c r="E1168" s="5">
        <v>250</v>
      </c>
      <c r="F1168" s="5">
        <v>51.7</v>
      </c>
      <c r="G1168" s="5" t="s">
        <v>860</v>
      </c>
      <c r="H1168" s="5">
        <v>173.1</v>
      </c>
      <c r="I1168" s="14">
        <f t="shared" si="180"/>
        <v>2565.20661293108</v>
      </c>
      <c r="J1168" s="15">
        <f t="shared" si="181"/>
        <v>279.224755051061</v>
      </c>
      <c r="K1168" s="15">
        <f t="shared" si="182"/>
        <v>2285.98185788002</v>
      </c>
      <c r="L1168" s="15">
        <f t="shared" si="183"/>
        <v>0.108850785602806</v>
      </c>
      <c r="M1168" s="15">
        <f t="shared" si="184"/>
        <v>0.1221465315171</v>
      </c>
      <c r="N1168" s="16">
        <f t="shared" si="185"/>
        <v>35.71875</v>
      </c>
      <c r="O1168" s="16">
        <f t="shared" si="186"/>
        <v>69806.1887627653</v>
      </c>
      <c r="P1168" s="16">
        <f t="shared" si="187"/>
        <v>118185.262052397</v>
      </c>
      <c r="Q1168" s="16">
        <f t="shared" si="188"/>
        <v>4.83558994197292</v>
      </c>
      <c r="R1168" s="16">
        <f t="shared" si="189"/>
        <v>0.590650539250968</v>
      </c>
      <c r="S1168" s="16">
        <v>48.9938757655293</v>
      </c>
    </row>
    <row r="1169" spans="1:19">
      <c r="A1169" s="5" t="s">
        <v>873</v>
      </c>
      <c r="B1169" s="5">
        <v>57.15</v>
      </c>
      <c r="C1169" s="5">
        <v>2</v>
      </c>
      <c r="D1169" s="5">
        <v>700</v>
      </c>
      <c r="E1169" s="5">
        <v>250</v>
      </c>
      <c r="F1169" s="5">
        <v>51.7</v>
      </c>
      <c r="G1169" s="5" t="s">
        <v>860</v>
      </c>
      <c r="H1169" s="5">
        <v>188.3</v>
      </c>
      <c r="I1169" s="14">
        <f t="shared" si="180"/>
        <v>2565.20661293108</v>
      </c>
      <c r="J1169" s="15">
        <f t="shared" si="181"/>
        <v>346.517669690954</v>
      </c>
      <c r="K1169" s="15">
        <f t="shared" si="182"/>
        <v>2218.68894324013</v>
      </c>
      <c r="L1169" s="15">
        <f t="shared" si="183"/>
        <v>0.135083726957577</v>
      </c>
      <c r="M1169" s="15">
        <f t="shared" si="184"/>
        <v>0.156181275769512</v>
      </c>
      <c r="N1169" s="16">
        <f t="shared" si="185"/>
        <v>28.575</v>
      </c>
      <c r="O1169" s="16">
        <f t="shared" si="186"/>
        <v>86629.4174227386</v>
      </c>
      <c r="P1169" s="16">
        <f t="shared" si="187"/>
        <v>114706.218365515</v>
      </c>
      <c r="Q1169" s="16">
        <f t="shared" si="188"/>
        <v>4.83558994197292</v>
      </c>
      <c r="R1169" s="16">
        <f t="shared" si="189"/>
        <v>0.755228606235553</v>
      </c>
      <c r="S1169" s="16">
        <v>48.9938757655293</v>
      </c>
    </row>
    <row r="1170" spans="1:19">
      <c r="A1170" s="5" t="s">
        <v>874</v>
      </c>
      <c r="B1170" s="5">
        <v>57.15</v>
      </c>
      <c r="C1170" s="5">
        <v>1.25</v>
      </c>
      <c r="D1170" s="5">
        <v>700</v>
      </c>
      <c r="E1170" s="5">
        <v>250</v>
      </c>
      <c r="F1170" s="5">
        <v>60.7</v>
      </c>
      <c r="G1170" s="5" t="s">
        <v>860</v>
      </c>
      <c r="H1170" s="5">
        <v>162</v>
      </c>
      <c r="I1170" s="14">
        <f t="shared" si="180"/>
        <v>2565.20661293108</v>
      </c>
      <c r="J1170" s="15">
        <f t="shared" si="181"/>
        <v>219.518786669587</v>
      </c>
      <c r="K1170" s="15">
        <f t="shared" si="182"/>
        <v>2345.6878262615</v>
      </c>
      <c r="L1170" s="15">
        <f t="shared" si="183"/>
        <v>0.0855754797929349</v>
      </c>
      <c r="M1170" s="15">
        <f t="shared" si="184"/>
        <v>0.0935839732004966</v>
      </c>
      <c r="N1170" s="16">
        <f t="shared" si="185"/>
        <v>45.72</v>
      </c>
      <c r="O1170" s="16">
        <f t="shared" si="186"/>
        <v>54879.6966673967</v>
      </c>
      <c r="P1170" s="16">
        <f t="shared" si="187"/>
        <v>142383.251054073</v>
      </c>
      <c r="Q1170" s="16">
        <f t="shared" si="188"/>
        <v>4.11861614497529</v>
      </c>
      <c r="R1170" s="16">
        <f t="shared" si="189"/>
        <v>0.3854364629345</v>
      </c>
      <c r="S1170" s="16">
        <v>48.9938757655293</v>
      </c>
    </row>
    <row r="1171" spans="1:19">
      <c r="A1171" s="5" t="s">
        <v>875</v>
      </c>
      <c r="B1171" s="5">
        <v>57.15</v>
      </c>
      <c r="C1171" s="5">
        <v>1.6</v>
      </c>
      <c r="D1171" s="5">
        <v>700</v>
      </c>
      <c r="E1171" s="5">
        <v>250</v>
      </c>
      <c r="F1171" s="5">
        <v>60.7</v>
      </c>
      <c r="G1171" s="5" t="s">
        <v>860</v>
      </c>
      <c r="H1171" s="5">
        <v>181.7</v>
      </c>
      <c r="I1171" s="14">
        <f t="shared" si="180"/>
        <v>2565.20661293108</v>
      </c>
      <c r="J1171" s="15">
        <f t="shared" si="181"/>
        <v>279.224755051061</v>
      </c>
      <c r="K1171" s="15">
        <f t="shared" si="182"/>
        <v>2285.98185788002</v>
      </c>
      <c r="L1171" s="15">
        <f t="shared" si="183"/>
        <v>0.108850785602806</v>
      </c>
      <c r="M1171" s="15">
        <f t="shared" si="184"/>
        <v>0.1221465315171</v>
      </c>
      <c r="N1171" s="16">
        <f t="shared" si="185"/>
        <v>35.71875</v>
      </c>
      <c r="O1171" s="16">
        <f t="shared" si="186"/>
        <v>69806.1887627653</v>
      </c>
      <c r="P1171" s="16">
        <f t="shared" si="187"/>
        <v>138759.098773317</v>
      </c>
      <c r="Q1171" s="16">
        <f t="shared" si="188"/>
        <v>4.11861614497529</v>
      </c>
      <c r="R1171" s="16">
        <f t="shared" si="189"/>
        <v>0.503074676759062</v>
      </c>
      <c r="S1171" s="16">
        <v>48.9938757655293</v>
      </c>
    </row>
    <row r="1172" spans="1:19">
      <c r="A1172" s="5" t="s">
        <v>876</v>
      </c>
      <c r="B1172" s="5">
        <v>57.15</v>
      </c>
      <c r="C1172" s="5">
        <v>2</v>
      </c>
      <c r="D1172" s="5">
        <v>700</v>
      </c>
      <c r="E1172" s="5">
        <v>250</v>
      </c>
      <c r="F1172" s="5">
        <v>60.7</v>
      </c>
      <c r="G1172" s="5" t="s">
        <v>860</v>
      </c>
      <c r="H1172" s="5">
        <v>206.1</v>
      </c>
      <c r="I1172" s="14">
        <f t="shared" si="180"/>
        <v>2565.20661293108</v>
      </c>
      <c r="J1172" s="15">
        <f t="shared" si="181"/>
        <v>346.517669690954</v>
      </c>
      <c r="K1172" s="15">
        <f t="shared" si="182"/>
        <v>2218.68894324013</v>
      </c>
      <c r="L1172" s="15">
        <f t="shared" si="183"/>
        <v>0.135083726957577</v>
      </c>
      <c r="M1172" s="15">
        <f t="shared" si="184"/>
        <v>0.156181275769512</v>
      </c>
      <c r="N1172" s="16">
        <f t="shared" si="185"/>
        <v>28.575</v>
      </c>
      <c r="O1172" s="16">
        <f t="shared" si="186"/>
        <v>86629.4174227386</v>
      </c>
      <c r="P1172" s="16">
        <f t="shared" si="187"/>
        <v>134674.418854676</v>
      </c>
      <c r="Q1172" s="16">
        <f t="shared" si="188"/>
        <v>4.11861614497529</v>
      </c>
      <c r="R1172" s="16">
        <f t="shared" si="189"/>
        <v>0.643250723927151</v>
      </c>
      <c r="S1172" s="16">
        <v>48.9938757655293</v>
      </c>
    </row>
    <row r="1173" spans="1:19">
      <c r="A1173" s="5" t="s">
        <v>877</v>
      </c>
      <c r="B1173" s="5">
        <v>63.5</v>
      </c>
      <c r="C1173" s="5">
        <v>1.25</v>
      </c>
      <c r="D1173" s="5">
        <v>700</v>
      </c>
      <c r="E1173" s="5">
        <v>250</v>
      </c>
      <c r="F1173" s="5">
        <v>42.4</v>
      </c>
      <c r="G1173" s="5" t="s">
        <v>860</v>
      </c>
      <c r="H1173" s="5">
        <v>150.5</v>
      </c>
      <c r="I1173" s="14">
        <f t="shared" si="180"/>
        <v>3166.92174435936</v>
      </c>
      <c r="J1173" s="15">
        <f t="shared" si="181"/>
        <v>244.455178357456</v>
      </c>
      <c r="K1173" s="15">
        <f t="shared" si="182"/>
        <v>2922.4665660019</v>
      </c>
      <c r="L1173" s="15">
        <f t="shared" si="183"/>
        <v>0.0771901543803088</v>
      </c>
      <c r="M1173" s="15">
        <f t="shared" si="184"/>
        <v>0.083646869121204</v>
      </c>
      <c r="N1173" s="16">
        <f t="shared" si="185"/>
        <v>50.8</v>
      </c>
      <c r="O1173" s="16">
        <f t="shared" si="186"/>
        <v>61113.7945893639</v>
      </c>
      <c r="P1173" s="16">
        <f t="shared" si="187"/>
        <v>123912.582398481</v>
      </c>
      <c r="Q1173" s="16">
        <f t="shared" si="188"/>
        <v>5.89622641509434</v>
      </c>
      <c r="R1173" s="16">
        <f t="shared" si="189"/>
        <v>0.493200879252382</v>
      </c>
      <c r="S1173" s="16">
        <v>44.0944881889764</v>
      </c>
    </row>
    <row r="1174" spans="1:19">
      <c r="A1174" s="5" t="s">
        <v>878</v>
      </c>
      <c r="B1174" s="5">
        <v>63.5</v>
      </c>
      <c r="C1174" s="5">
        <v>1.6</v>
      </c>
      <c r="D1174" s="5">
        <v>700</v>
      </c>
      <c r="E1174" s="5">
        <v>250</v>
      </c>
      <c r="F1174" s="5">
        <v>42.4</v>
      </c>
      <c r="G1174" s="5" t="s">
        <v>860</v>
      </c>
      <c r="H1174" s="5">
        <v>185.6</v>
      </c>
      <c r="I1174" s="14">
        <f t="shared" si="180"/>
        <v>3166.92174435936</v>
      </c>
      <c r="J1174" s="15">
        <f t="shared" si="181"/>
        <v>311.143336411533</v>
      </c>
      <c r="K1174" s="15">
        <f t="shared" si="182"/>
        <v>2855.77840794783</v>
      </c>
      <c r="L1174" s="15">
        <f t="shared" si="183"/>
        <v>0.0982478764957531</v>
      </c>
      <c r="M1174" s="15">
        <f t="shared" si="184"/>
        <v>0.108952198652949</v>
      </c>
      <c r="N1174" s="16">
        <f t="shared" si="185"/>
        <v>39.6875</v>
      </c>
      <c r="O1174" s="16">
        <f t="shared" si="186"/>
        <v>77785.8341028833</v>
      </c>
      <c r="P1174" s="16">
        <f t="shared" si="187"/>
        <v>121085.004496988</v>
      </c>
      <c r="Q1174" s="16">
        <f t="shared" si="188"/>
        <v>5.89622641509434</v>
      </c>
      <c r="R1174" s="16">
        <f t="shared" si="189"/>
        <v>0.642406831680122</v>
      </c>
      <c r="S1174" s="16">
        <v>44.0944881889764</v>
      </c>
    </row>
    <row r="1175" spans="1:19">
      <c r="A1175" s="5" t="s">
        <v>879</v>
      </c>
      <c r="B1175" s="5">
        <v>63.5</v>
      </c>
      <c r="C1175" s="5">
        <v>2</v>
      </c>
      <c r="D1175" s="5">
        <v>700</v>
      </c>
      <c r="E1175" s="5">
        <v>250</v>
      </c>
      <c r="F1175" s="5">
        <v>42.4</v>
      </c>
      <c r="G1175" s="5" t="s">
        <v>860</v>
      </c>
      <c r="H1175" s="5">
        <v>202.3</v>
      </c>
      <c r="I1175" s="14">
        <f t="shared" si="180"/>
        <v>3166.92174435936</v>
      </c>
      <c r="J1175" s="15">
        <f t="shared" si="181"/>
        <v>386.415896391545</v>
      </c>
      <c r="K1175" s="15">
        <f t="shared" si="182"/>
        <v>2780.50584796782</v>
      </c>
      <c r="L1175" s="15">
        <f t="shared" si="183"/>
        <v>0.122016244032488</v>
      </c>
      <c r="M1175" s="15">
        <f t="shared" si="184"/>
        <v>0.138973236353365</v>
      </c>
      <c r="N1175" s="16">
        <f t="shared" si="185"/>
        <v>31.75</v>
      </c>
      <c r="O1175" s="16">
        <f t="shared" si="186"/>
        <v>96603.9740978861</v>
      </c>
      <c r="P1175" s="16">
        <f t="shared" si="187"/>
        <v>117893.447953835</v>
      </c>
      <c r="Q1175" s="16">
        <f t="shared" si="188"/>
        <v>5.89622641509434</v>
      </c>
      <c r="R1175" s="16">
        <f t="shared" si="189"/>
        <v>0.819417667177859</v>
      </c>
      <c r="S1175" s="16">
        <v>44.0944881889764</v>
      </c>
    </row>
    <row r="1176" spans="1:19">
      <c r="A1176" s="5" t="s">
        <v>880</v>
      </c>
      <c r="B1176" s="5">
        <v>63.5</v>
      </c>
      <c r="C1176" s="5">
        <v>1.25</v>
      </c>
      <c r="D1176" s="5">
        <v>700</v>
      </c>
      <c r="E1176" s="5">
        <v>250</v>
      </c>
      <c r="F1176" s="5">
        <v>51.7</v>
      </c>
      <c r="G1176" s="5" t="s">
        <v>860</v>
      </c>
      <c r="H1176" s="5">
        <v>169.3</v>
      </c>
      <c r="I1176" s="14">
        <f t="shared" si="180"/>
        <v>3166.92174435936</v>
      </c>
      <c r="J1176" s="15">
        <f t="shared" si="181"/>
        <v>244.455178357456</v>
      </c>
      <c r="K1176" s="15">
        <f t="shared" si="182"/>
        <v>2922.4665660019</v>
      </c>
      <c r="L1176" s="15">
        <f t="shared" si="183"/>
        <v>0.0771901543803088</v>
      </c>
      <c r="M1176" s="15">
        <f t="shared" si="184"/>
        <v>0.083646869121204</v>
      </c>
      <c r="N1176" s="16">
        <f t="shared" si="185"/>
        <v>50.8</v>
      </c>
      <c r="O1176" s="16">
        <f t="shared" si="186"/>
        <v>61113.7945893639</v>
      </c>
      <c r="P1176" s="16">
        <f t="shared" si="187"/>
        <v>151091.521462298</v>
      </c>
      <c r="Q1176" s="16">
        <f t="shared" si="188"/>
        <v>4.83558994197292</v>
      </c>
      <c r="R1176" s="16">
        <f t="shared" si="189"/>
        <v>0.404481959000019</v>
      </c>
      <c r="S1176" s="16">
        <v>44.0944881889764</v>
      </c>
    </row>
    <row r="1177" spans="1:19">
      <c r="A1177" s="5" t="s">
        <v>881</v>
      </c>
      <c r="B1177" s="5">
        <v>63.5</v>
      </c>
      <c r="C1177" s="5">
        <v>1.6</v>
      </c>
      <c r="D1177" s="5">
        <v>700</v>
      </c>
      <c r="E1177" s="5">
        <v>250</v>
      </c>
      <c r="F1177" s="5">
        <v>51.7</v>
      </c>
      <c r="G1177" s="5" t="s">
        <v>860</v>
      </c>
      <c r="H1177" s="5">
        <v>210.5</v>
      </c>
      <c r="I1177" s="14">
        <f t="shared" si="180"/>
        <v>3166.92174435936</v>
      </c>
      <c r="J1177" s="15">
        <f t="shared" si="181"/>
        <v>311.143336411533</v>
      </c>
      <c r="K1177" s="15">
        <f t="shared" si="182"/>
        <v>2855.77840794783</v>
      </c>
      <c r="L1177" s="15">
        <f t="shared" si="183"/>
        <v>0.0982478764957531</v>
      </c>
      <c r="M1177" s="15">
        <f t="shared" si="184"/>
        <v>0.108952198652949</v>
      </c>
      <c r="N1177" s="16">
        <f t="shared" si="185"/>
        <v>39.6875</v>
      </c>
      <c r="O1177" s="16">
        <f t="shared" si="186"/>
        <v>77785.8341028833</v>
      </c>
      <c r="P1177" s="16">
        <f t="shared" si="187"/>
        <v>147643.743690903</v>
      </c>
      <c r="Q1177" s="16">
        <f t="shared" si="188"/>
        <v>4.83558994197292</v>
      </c>
      <c r="R1177" s="16">
        <f t="shared" si="189"/>
        <v>0.526848155962034</v>
      </c>
      <c r="S1177" s="16">
        <v>44.0944881889764</v>
      </c>
    </row>
    <row r="1178" spans="1:19">
      <c r="A1178" s="5" t="s">
        <v>882</v>
      </c>
      <c r="B1178" s="5">
        <v>63.5</v>
      </c>
      <c r="C1178" s="5">
        <v>2</v>
      </c>
      <c r="D1178" s="5">
        <v>700</v>
      </c>
      <c r="E1178" s="5">
        <v>250</v>
      </c>
      <c r="F1178" s="5">
        <v>51.7</v>
      </c>
      <c r="G1178" s="5" t="s">
        <v>860</v>
      </c>
      <c r="H1178" s="5">
        <v>231.3</v>
      </c>
      <c r="I1178" s="14">
        <f t="shared" si="180"/>
        <v>3166.92174435936</v>
      </c>
      <c r="J1178" s="15">
        <f t="shared" si="181"/>
        <v>386.415896391545</v>
      </c>
      <c r="K1178" s="15">
        <f t="shared" si="182"/>
        <v>2780.50584796782</v>
      </c>
      <c r="L1178" s="15">
        <f t="shared" si="183"/>
        <v>0.122016244032488</v>
      </c>
      <c r="M1178" s="15">
        <f t="shared" si="184"/>
        <v>0.138973236353365</v>
      </c>
      <c r="N1178" s="16">
        <f t="shared" si="185"/>
        <v>31.75</v>
      </c>
      <c r="O1178" s="16">
        <f t="shared" si="186"/>
        <v>96603.9740978861</v>
      </c>
      <c r="P1178" s="16">
        <f t="shared" si="187"/>
        <v>143752.152339936</v>
      </c>
      <c r="Q1178" s="16">
        <f t="shared" si="188"/>
        <v>4.83558994197292</v>
      </c>
      <c r="R1178" s="16">
        <f t="shared" si="189"/>
        <v>0.672017583913757</v>
      </c>
      <c r="S1178" s="16">
        <v>44.0944881889764</v>
      </c>
    </row>
    <row r="1179" spans="1:19">
      <c r="A1179" s="5" t="s">
        <v>883</v>
      </c>
      <c r="B1179" s="5">
        <v>63.5</v>
      </c>
      <c r="C1179" s="5">
        <v>1.25</v>
      </c>
      <c r="D1179" s="5">
        <v>700</v>
      </c>
      <c r="E1179" s="5">
        <v>250</v>
      </c>
      <c r="F1179" s="5">
        <v>60.7</v>
      </c>
      <c r="G1179" s="5" t="s">
        <v>860</v>
      </c>
      <c r="H1179" s="5">
        <v>181.2</v>
      </c>
      <c r="I1179" s="14">
        <f t="shared" si="180"/>
        <v>3166.92174435936</v>
      </c>
      <c r="J1179" s="15">
        <f t="shared" si="181"/>
        <v>244.455178357456</v>
      </c>
      <c r="K1179" s="15">
        <f t="shared" si="182"/>
        <v>2922.4665660019</v>
      </c>
      <c r="L1179" s="15">
        <f t="shared" si="183"/>
        <v>0.0771901543803088</v>
      </c>
      <c r="M1179" s="15">
        <f t="shared" si="184"/>
        <v>0.083646869121204</v>
      </c>
      <c r="N1179" s="16">
        <f t="shared" si="185"/>
        <v>50.8</v>
      </c>
      <c r="O1179" s="16">
        <f t="shared" si="186"/>
        <v>61113.7945893639</v>
      </c>
      <c r="P1179" s="16">
        <f t="shared" si="187"/>
        <v>177393.720556316</v>
      </c>
      <c r="Q1179" s="16">
        <f t="shared" si="188"/>
        <v>4.11861614497529</v>
      </c>
      <c r="R1179" s="16">
        <f t="shared" si="189"/>
        <v>0.344509345639226</v>
      </c>
      <c r="S1179" s="16">
        <v>44.0944881889764</v>
      </c>
    </row>
    <row r="1180" spans="1:19">
      <c r="A1180" s="5" t="s">
        <v>884</v>
      </c>
      <c r="B1180" s="5">
        <v>63.5</v>
      </c>
      <c r="C1180" s="5">
        <v>1.6</v>
      </c>
      <c r="D1180" s="5">
        <v>700</v>
      </c>
      <c r="E1180" s="5">
        <v>250</v>
      </c>
      <c r="F1180" s="5">
        <v>60.7</v>
      </c>
      <c r="G1180" s="5" t="s">
        <v>860</v>
      </c>
      <c r="H1180" s="5">
        <v>226.7</v>
      </c>
      <c r="I1180" s="14">
        <f t="shared" si="180"/>
        <v>3166.92174435936</v>
      </c>
      <c r="J1180" s="15">
        <f t="shared" si="181"/>
        <v>311.143336411533</v>
      </c>
      <c r="K1180" s="15">
        <f t="shared" si="182"/>
        <v>2855.77840794783</v>
      </c>
      <c r="L1180" s="15">
        <f t="shared" si="183"/>
        <v>0.0982478764957531</v>
      </c>
      <c r="M1180" s="15">
        <f t="shared" si="184"/>
        <v>0.108952198652949</v>
      </c>
      <c r="N1180" s="16">
        <f t="shared" si="185"/>
        <v>39.6875</v>
      </c>
      <c r="O1180" s="16">
        <f t="shared" si="186"/>
        <v>77785.8341028833</v>
      </c>
      <c r="P1180" s="16">
        <f t="shared" si="187"/>
        <v>173345.749362433</v>
      </c>
      <c r="Q1180" s="16">
        <f t="shared" si="188"/>
        <v>4.11861614497529</v>
      </c>
      <c r="R1180" s="16">
        <f t="shared" si="189"/>
        <v>0.448732284402589</v>
      </c>
      <c r="S1180" s="16">
        <v>44.0944881889764</v>
      </c>
    </row>
    <row r="1181" spans="1:19">
      <c r="A1181" s="5" t="s">
        <v>885</v>
      </c>
      <c r="B1181" s="5">
        <v>63.5</v>
      </c>
      <c r="C1181" s="5">
        <v>2</v>
      </c>
      <c r="D1181" s="5">
        <v>700</v>
      </c>
      <c r="E1181" s="5">
        <v>250</v>
      </c>
      <c r="F1181" s="5">
        <v>60.7</v>
      </c>
      <c r="G1181" s="5" t="s">
        <v>860</v>
      </c>
      <c r="H1181" s="5">
        <v>240.6</v>
      </c>
      <c r="I1181" s="14">
        <f t="shared" si="180"/>
        <v>3166.92174435936</v>
      </c>
      <c r="J1181" s="15">
        <f t="shared" si="181"/>
        <v>386.415896391545</v>
      </c>
      <c r="K1181" s="15">
        <f t="shared" si="182"/>
        <v>2780.50584796782</v>
      </c>
      <c r="L1181" s="15">
        <f t="shared" si="183"/>
        <v>0.122016244032488</v>
      </c>
      <c r="M1181" s="15">
        <f t="shared" si="184"/>
        <v>0.138973236353365</v>
      </c>
      <c r="N1181" s="16">
        <f t="shared" si="185"/>
        <v>31.75</v>
      </c>
      <c r="O1181" s="16">
        <f t="shared" si="186"/>
        <v>96603.9740978861</v>
      </c>
      <c r="P1181" s="16">
        <f t="shared" si="187"/>
        <v>168776.704971646</v>
      </c>
      <c r="Q1181" s="16">
        <f t="shared" si="188"/>
        <v>4.11861614497529</v>
      </c>
      <c r="R1181" s="16">
        <f t="shared" si="189"/>
        <v>0.572377414964435</v>
      </c>
      <c r="S1181" s="16">
        <v>44.0944881889764</v>
      </c>
    </row>
    <row r="1182" spans="1:19">
      <c r="A1182" s="5" t="s">
        <v>886</v>
      </c>
      <c r="B1182" s="5">
        <v>44.45</v>
      </c>
      <c r="C1182" s="5">
        <v>1.25</v>
      </c>
      <c r="D1182" s="5">
        <v>490</v>
      </c>
      <c r="E1182" s="5">
        <v>250</v>
      </c>
      <c r="F1182" s="5">
        <v>42.4</v>
      </c>
      <c r="G1182" s="5" t="s">
        <v>860</v>
      </c>
      <c r="H1182" s="5">
        <v>82</v>
      </c>
      <c r="I1182" s="14">
        <f t="shared" si="180"/>
        <v>1551.79165473609</v>
      </c>
      <c r="J1182" s="15">
        <f t="shared" si="181"/>
        <v>169.646003293849</v>
      </c>
      <c r="K1182" s="15">
        <f t="shared" si="182"/>
        <v>1382.14565144224</v>
      </c>
      <c r="L1182" s="15">
        <f t="shared" si="183"/>
        <v>0.109322667624927</v>
      </c>
      <c r="M1182" s="15">
        <f t="shared" si="184"/>
        <v>0.122741046225358</v>
      </c>
      <c r="N1182" s="16">
        <f t="shared" si="185"/>
        <v>35.56</v>
      </c>
      <c r="O1182" s="16">
        <f t="shared" si="186"/>
        <v>42411.5008234622</v>
      </c>
      <c r="P1182" s="16">
        <f t="shared" si="187"/>
        <v>58602.9756211509</v>
      </c>
      <c r="Q1182" s="16">
        <f t="shared" si="188"/>
        <v>5.89622641509434</v>
      </c>
      <c r="R1182" s="16">
        <f t="shared" si="189"/>
        <v>0.723708998970269</v>
      </c>
      <c r="S1182" s="16">
        <v>44.0944881889764</v>
      </c>
    </row>
    <row r="1183" spans="1:19">
      <c r="A1183" s="5" t="s">
        <v>887</v>
      </c>
      <c r="B1183" s="5">
        <v>44.45</v>
      </c>
      <c r="C1183" s="5">
        <v>1.6</v>
      </c>
      <c r="D1183" s="5">
        <v>490</v>
      </c>
      <c r="E1183" s="5">
        <v>250</v>
      </c>
      <c r="F1183" s="5">
        <v>42.4</v>
      </c>
      <c r="G1183" s="5" t="s">
        <v>860</v>
      </c>
      <c r="H1183" s="5">
        <v>96.5</v>
      </c>
      <c r="I1183" s="14">
        <f t="shared" si="180"/>
        <v>1551.79165473609</v>
      </c>
      <c r="J1183" s="15">
        <f t="shared" si="181"/>
        <v>215.387592330116</v>
      </c>
      <c r="K1183" s="15">
        <f t="shared" si="182"/>
        <v>1336.40406240597</v>
      </c>
      <c r="L1183" s="15">
        <f t="shared" si="183"/>
        <v>0.138799298006759</v>
      </c>
      <c r="M1183" s="15">
        <f t="shared" si="184"/>
        <v>0.161169513314968</v>
      </c>
      <c r="N1183" s="16">
        <f t="shared" si="185"/>
        <v>27.78125</v>
      </c>
      <c r="O1183" s="16">
        <f t="shared" si="186"/>
        <v>53846.8980825291</v>
      </c>
      <c r="P1183" s="16">
        <f t="shared" si="187"/>
        <v>56663.5322460132</v>
      </c>
      <c r="Q1183" s="16">
        <f t="shared" si="188"/>
        <v>5.89622641509434</v>
      </c>
      <c r="R1183" s="16">
        <f t="shared" si="189"/>
        <v>0.950291941715613</v>
      </c>
      <c r="S1183" s="16">
        <v>44.0944881889764</v>
      </c>
    </row>
    <row r="1184" spans="1:19">
      <c r="A1184" s="5" t="s">
        <v>888</v>
      </c>
      <c r="B1184" s="5">
        <v>44.45</v>
      </c>
      <c r="C1184" s="5">
        <v>2</v>
      </c>
      <c r="D1184" s="5">
        <v>490</v>
      </c>
      <c r="E1184" s="5">
        <v>250</v>
      </c>
      <c r="F1184" s="5">
        <v>42.4</v>
      </c>
      <c r="G1184" s="5" t="s">
        <v>860</v>
      </c>
      <c r="H1184" s="5">
        <v>127.1</v>
      </c>
      <c r="I1184" s="14">
        <f t="shared" si="180"/>
        <v>1551.79165473609</v>
      </c>
      <c r="J1184" s="15">
        <f t="shared" si="181"/>
        <v>266.721216289773</v>
      </c>
      <c r="K1184" s="15">
        <f t="shared" si="182"/>
        <v>1285.07043844631</v>
      </c>
      <c r="L1184" s="15">
        <f t="shared" si="183"/>
        <v>0.171879527432524</v>
      </c>
      <c r="M1184" s="15">
        <f t="shared" si="184"/>
        <v>0.207553771614455</v>
      </c>
      <c r="N1184" s="16">
        <f t="shared" si="185"/>
        <v>22.225</v>
      </c>
      <c r="O1184" s="16">
        <f t="shared" si="186"/>
        <v>66680.3040724433</v>
      </c>
      <c r="P1184" s="16">
        <f t="shared" si="187"/>
        <v>54486.9865901237</v>
      </c>
      <c r="Q1184" s="16">
        <f t="shared" si="188"/>
        <v>5.89622641509434</v>
      </c>
      <c r="R1184" s="16">
        <f t="shared" si="189"/>
        <v>1.22378403074561</v>
      </c>
      <c r="S1184" s="16">
        <v>44.0944881889764</v>
      </c>
    </row>
    <row r="1185" spans="1:19">
      <c r="A1185" s="5" t="s">
        <v>889</v>
      </c>
      <c r="B1185" s="5">
        <v>44.45</v>
      </c>
      <c r="C1185" s="5">
        <v>1.25</v>
      </c>
      <c r="D1185" s="5">
        <v>490</v>
      </c>
      <c r="E1185" s="5">
        <v>250</v>
      </c>
      <c r="F1185" s="5">
        <v>51.7</v>
      </c>
      <c r="G1185" s="5" t="s">
        <v>860</v>
      </c>
      <c r="H1185" s="5">
        <v>94</v>
      </c>
      <c r="I1185" s="14">
        <f t="shared" si="180"/>
        <v>1551.79165473609</v>
      </c>
      <c r="J1185" s="15">
        <f t="shared" si="181"/>
        <v>169.646003293849</v>
      </c>
      <c r="K1185" s="15">
        <f t="shared" si="182"/>
        <v>1382.14565144224</v>
      </c>
      <c r="L1185" s="15">
        <f t="shared" si="183"/>
        <v>0.109322667624927</v>
      </c>
      <c r="M1185" s="15">
        <f t="shared" si="184"/>
        <v>0.122741046225358</v>
      </c>
      <c r="N1185" s="16">
        <f t="shared" si="185"/>
        <v>35.56</v>
      </c>
      <c r="O1185" s="16">
        <f t="shared" si="186"/>
        <v>42411.5008234622</v>
      </c>
      <c r="P1185" s="16">
        <f t="shared" si="187"/>
        <v>71456.9301795637</v>
      </c>
      <c r="Q1185" s="16">
        <f t="shared" si="188"/>
        <v>4.83558994197292</v>
      </c>
      <c r="R1185" s="16">
        <f t="shared" si="189"/>
        <v>0.593525368594573</v>
      </c>
      <c r="S1185" s="16">
        <v>44.0944881889764</v>
      </c>
    </row>
    <row r="1186" spans="1:19">
      <c r="A1186" s="5" t="s">
        <v>890</v>
      </c>
      <c r="B1186" s="5">
        <v>44.45</v>
      </c>
      <c r="C1186" s="5">
        <v>1.6</v>
      </c>
      <c r="D1186" s="5">
        <v>490</v>
      </c>
      <c r="E1186" s="5">
        <v>250</v>
      </c>
      <c r="F1186" s="5">
        <v>51.7</v>
      </c>
      <c r="G1186" s="5" t="s">
        <v>860</v>
      </c>
      <c r="H1186" s="5">
        <v>117.1</v>
      </c>
      <c r="I1186" s="14">
        <f t="shared" si="180"/>
        <v>1551.79165473609</v>
      </c>
      <c r="J1186" s="15">
        <f t="shared" si="181"/>
        <v>215.387592330116</v>
      </c>
      <c r="K1186" s="15">
        <f t="shared" si="182"/>
        <v>1336.40406240597</v>
      </c>
      <c r="L1186" s="15">
        <f t="shared" si="183"/>
        <v>0.138799298006759</v>
      </c>
      <c r="M1186" s="15">
        <f t="shared" si="184"/>
        <v>0.161169513314968</v>
      </c>
      <c r="N1186" s="16">
        <f t="shared" si="185"/>
        <v>27.78125</v>
      </c>
      <c r="O1186" s="16">
        <f t="shared" si="186"/>
        <v>53846.8980825291</v>
      </c>
      <c r="P1186" s="16">
        <f t="shared" si="187"/>
        <v>69092.0900263887</v>
      </c>
      <c r="Q1186" s="16">
        <f t="shared" si="188"/>
        <v>4.83558994197292</v>
      </c>
      <c r="R1186" s="16">
        <f t="shared" si="189"/>
        <v>0.77934967753853</v>
      </c>
      <c r="S1186" s="16">
        <v>44.0944881889764</v>
      </c>
    </row>
    <row r="1187" spans="1:19">
      <c r="A1187" s="5" t="s">
        <v>891</v>
      </c>
      <c r="B1187" s="5">
        <v>44.45</v>
      </c>
      <c r="C1187" s="5">
        <v>2</v>
      </c>
      <c r="D1187" s="5">
        <v>490</v>
      </c>
      <c r="E1187" s="5">
        <v>250</v>
      </c>
      <c r="F1187" s="5">
        <v>51.7</v>
      </c>
      <c r="G1187" s="5" t="s">
        <v>860</v>
      </c>
      <c r="H1187" s="5">
        <v>138</v>
      </c>
      <c r="I1187" s="14">
        <f t="shared" si="180"/>
        <v>1551.79165473609</v>
      </c>
      <c r="J1187" s="15">
        <f t="shared" si="181"/>
        <v>266.721216289773</v>
      </c>
      <c r="K1187" s="15">
        <f t="shared" si="182"/>
        <v>1285.07043844631</v>
      </c>
      <c r="L1187" s="15">
        <f t="shared" si="183"/>
        <v>0.171879527432524</v>
      </c>
      <c r="M1187" s="15">
        <f t="shared" si="184"/>
        <v>0.207553771614455</v>
      </c>
      <c r="N1187" s="16">
        <f t="shared" si="185"/>
        <v>22.225</v>
      </c>
      <c r="O1187" s="16">
        <f t="shared" si="186"/>
        <v>66680.3040724433</v>
      </c>
      <c r="P1187" s="16">
        <f t="shared" si="187"/>
        <v>66438.1416676744</v>
      </c>
      <c r="Q1187" s="16">
        <f t="shared" si="188"/>
        <v>4.83558994197292</v>
      </c>
      <c r="R1187" s="16">
        <f t="shared" si="189"/>
        <v>1.0036449304374</v>
      </c>
      <c r="S1187" s="16">
        <v>44.0944881889764</v>
      </c>
    </row>
    <row r="1188" spans="1:19">
      <c r="A1188" s="5" t="s">
        <v>892</v>
      </c>
      <c r="B1188" s="5">
        <v>44.45</v>
      </c>
      <c r="C1188" s="5">
        <v>1.25</v>
      </c>
      <c r="D1188" s="5">
        <v>490</v>
      </c>
      <c r="E1188" s="5">
        <v>250</v>
      </c>
      <c r="F1188" s="5">
        <v>60.7</v>
      </c>
      <c r="G1188" s="5" t="s">
        <v>860</v>
      </c>
      <c r="H1188" s="5">
        <v>109.9</v>
      </c>
      <c r="I1188" s="14">
        <f t="shared" si="180"/>
        <v>1551.79165473609</v>
      </c>
      <c r="J1188" s="15">
        <f t="shared" si="181"/>
        <v>169.646003293849</v>
      </c>
      <c r="K1188" s="15">
        <f t="shared" si="182"/>
        <v>1382.14565144224</v>
      </c>
      <c r="L1188" s="15">
        <f t="shared" si="183"/>
        <v>0.109322667624927</v>
      </c>
      <c r="M1188" s="15">
        <f t="shared" si="184"/>
        <v>0.122741046225358</v>
      </c>
      <c r="N1188" s="16">
        <f t="shared" si="185"/>
        <v>35.56</v>
      </c>
      <c r="O1188" s="16">
        <f t="shared" si="186"/>
        <v>42411.5008234622</v>
      </c>
      <c r="P1188" s="16">
        <f t="shared" si="187"/>
        <v>83896.2410425439</v>
      </c>
      <c r="Q1188" s="16">
        <f t="shared" si="188"/>
        <v>4.11861614497529</v>
      </c>
      <c r="R1188" s="16">
        <f t="shared" si="189"/>
        <v>0.505523254634916</v>
      </c>
      <c r="S1188" s="16">
        <v>44.0944881889764</v>
      </c>
    </row>
    <row r="1189" spans="1:19">
      <c r="A1189" s="5" t="s">
        <v>893</v>
      </c>
      <c r="B1189" s="5">
        <v>44.45</v>
      </c>
      <c r="C1189" s="5">
        <v>1.6</v>
      </c>
      <c r="D1189" s="5">
        <v>490</v>
      </c>
      <c r="E1189" s="5">
        <v>250</v>
      </c>
      <c r="F1189" s="5">
        <v>60.7</v>
      </c>
      <c r="G1189" s="5" t="s">
        <v>860</v>
      </c>
      <c r="H1189" s="5">
        <v>130</v>
      </c>
      <c r="I1189" s="14">
        <f t="shared" si="180"/>
        <v>1551.79165473609</v>
      </c>
      <c r="J1189" s="15">
        <f t="shared" si="181"/>
        <v>215.387592330116</v>
      </c>
      <c r="K1189" s="15">
        <f t="shared" si="182"/>
        <v>1336.40406240597</v>
      </c>
      <c r="L1189" s="15">
        <f t="shared" si="183"/>
        <v>0.138799298006759</v>
      </c>
      <c r="M1189" s="15">
        <f t="shared" si="184"/>
        <v>0.161169513314968</v>
      </c>
      <c r="N1189" s="16">
        <f t="shared" si="185"/>
        <v>27.78125</v>
      </c>
      <c r="O1189" s="16">
        <f t="shared" si="186"/>
        <v>53846.8980825291</v>
      </c>
      <c r="P1189" s="16">
        <f t="shared" si="187"/>
        <v>81119.7265880424</v>
      </c>
      <c r="Q1189" s="16">
        <f t="shared" si="188"/>
        <v>4.11861614497529</v>
      </c>
      <c r="R1189" s="16">
        <f t="shared" si="189"/>
        <v>0.663795359616837</v>
      </c>
      <c r="S1189" s="16">
        <v>44.0944881889764</v>
      </c>
    </row>
    <row r="1190" spans="1:19">
      <c r="A1190" s="5" t="s">
        <v>894</v>
      </c>
      <c r="B1190" s="5">
        <v>44.45</v>
      </c>
      <c r="C1190" s="5">
        <v>2</v>
      </c>
      <c r="D1190" s="5">
        <v>490</v>
      </c>
      <c r="E1190" s="5">
        <v>250</v>
      </c>
      <c r="F1190" s="5">
        <v>60.7</v>
      </c>
      <c r="G1190" s="5" t="s">
        <v>860</v>
      </c>
      <c r="H1190" s="5">
        <v>145.3</v>
      </c>
      <c r="I1190" s="14">
        <f t="shared" si="180"/>
        <v>1551.79165473609</v>
      </c>
      <c r="J1190" s="15">
        <f t="shared" si="181"/>
        <v>266.721216289773</v>
      </c>
      <c r="K1190" s="15">
        <f t="shared" si="182"/>
        <v>1285.07043844631</v>
      </c>
      <c r="L1190" s="15">
        <f t="shared" si="183"/>
        <v>0.171879527432524</v>
      </c>
      <c r="M1190" s="15">
        <f t="shared" si="184"/>
        <v>0.207553771614455</v>
      </c>
      <c r="N1190" s="16">
        <f t="shared" si="185"/>
        <v>22.225</v>
      </c>
      <c r="O1190" s="16">
        <f t="shared" si="186"/>
        <v>66680.3040724433</v>
      </c>
      <c r="P1190" s="16">
        <f t="shared" si="187"/>
        <v>78003.7756136912</v>
      </c>
      <c r="Q1190" s="16">
        <f t="shared" si="188"/>
        <v>4.11861614497529</v>
      </c>
      <c r="R1190" s="16">
        <f t="shared" si="189"/>
        <v>0.854834314721807</v>
      </c>
      <c r="S1190" s="16">
        <v>44.0944881889764</v>
      </c>
    </row>
    <row r="1191" spans="1:19">
      <c r="A1191" s="5" t="s">
        <v>895</v>
      </c>
      <c r="B1191" s="5">
        <v>57.15</v>
      </c>
      <c r="C1191" s="5">
        <v>1.25</v>
      </c>
      <c r="D1191" s="5">
        <v>490</v>
      </c>
      <c r="E1191" s="5">
        <v>250</v>
      </c>
      <c r="F1191" s="5">
        <v>42.4</v>
      </c>
      <c r="G1191" s="5" t="s">
        <v>860</v>
      </c>
      <c r="H1191" s="5">
        <v>163</v>
      </c>
      <c r="I1191" s="14">
        <f t="shared" si="180"/>
        <v>2565.20661293108</v>
      </c>
      <c r="J1191" s="15">
        <f t="shared" si="181"/>
        <v>219.518786669587</v>
      </c>
      <c r="K1191" s="15">
        <f t="shared" si="182"/>
        <v>2345.6878262615</v>
      </c>
      <c r="L1191" s="15">
        <f t="shared" si="183"/>
        <v>0.0855754797929349</v>
      </c>
      <c r="M1191" s="15">
        <f t="shared" si="184"/>
        <v>0.0935839732004966</v>
      </c>
      <c r="N1191" s="16">
        <f t="shared" si="185"/>
        <v>45.72</v>
      </c>
      <c r="O1191" s="16">
        <f t="shared" si="186"/>
        <v>54879.6966673967</v>
      </c>
      <c r="P1191" s="16">
        <f t="shared" si="187"/>
        <v>99457.1638334874</v>
      </c>
      <c r="Q1191" s="16">
        <f t="shared" si="188"/>
        <v>5.89622641509434</v>
      </c>
      <c r="R1191" s="16">
        <f t="shared" si="189"/>
        <v>0.551792294814249</v>
      </c>
      <c r="S1191" s="16">
        <v>34.2957130358705</v>
      </c>
    </row>
    <row r="1192" spans="1:19">
      <c r="A1192" s="5" t="s">
        <v>896</v>
      </c>
      <c r="B1192" s="5">
        <v>57.15</v>
      </c>
      <c r="C1192" s="5">
        <v>1.6</v>
      </c>
      <c r="D1192" s="5">
        <v>490</v>
      </c>
      <c r="E1192" s="5">
        <v>250</v>
      </c>
      <c r="F1192" s="5">
        <v>42.4</v>
      </c>
      <c r="G1192" s="5" t="s">
        <v>860</v>
      </c>
      <c r="H1192" s="5">
        <v>181.6</v>
      </c>
      <c r="I1192" s="14">
        <f t="shared" si="180"/>
        <v>2565.20661293108</v>
      </c>
      <c r="J1192" s="15">
        <f t="shared" si="181"/>
        <v>279.224755051061</v>
      </c>
      <c r="K1192" s="15">
        <f t="shared" si="182"/>
        <v>2285.98185788002</v>
      </c>
      <c r="L1192" s="15">
        <f t="shared" si="183"/>
        <v>0.108850785602806</v>
      </c>
      <c r="M1192" s="15">
        <f t="shared" si="184"/>
        <v>0.1221465315171</v>
      </c>
      <c r="N1192" s="16">
        <f t="shared" si="185"/>
        <v>35.71875</v>
      </c>
      <c r="O1192" s="16">
        <f t="shared" si="186"/>
        <v>69806.1887627653</v>
      </c>
      <c r="P1192" s="16">
        <f t="shared" si="187"/>
        <v>96925.6307741129</v>
      </c>
      <c r="Q1192" s="16">
        <f t="shared" si="188"/>
        <v>5.89622641509434</v>
      </c>
      <c r="R1192" s="16">
        <f t="shared" si="189"/>
        <v>0.720203605643279</v>
      </c>
      <c r="S1192" s="16">
        <v>34.2957130358705</v>
      </c>
    </row>
    <row r="1193" spans="1:19">
      <c r="A1193" s="5" t="s">
        <v>897</v>
      </c>
      <c r="B1193" s="5">
        <v>57.15</v>
      </c>
      <c r="C1193" s="5">
        <v>2</v>
      </c>
      <c r="D1193" s="5">
        <v>490</v>
      </c>
      <c r="E1193" s="5">
        <v>250</v>
      </c>
      <c r="F1193" s="5">
        <v>42.4</v>
      </c>
      <c r="G1193" s="5" t="s">
        <v>860</v>
      </c>
      <c r="H1193" s="5">
        <v>205.8</v>
      </c>
      <c r="I1193" s="14">
        <f t="shared" si="180"/>
        <v>2565.20661293108</v>
      </c>
      <c r="J1193" s="15">
        <f t="shared" si="181"/>
        <v>346.517669690954</v>
      </c>
      <c r="K1193" s="15">
        <f t="shared" si="182"/>
        <v>2218.68894324013</v>
      </c>
      <c r="L1193" s="15">
        <f t="shared" si="183"/>
        <v>0.135083726957577</v>
      </c>
      <c r="M1193" s="15">
        <f t="shared" si="184"/>
        <v>0.156181275769512</v>
      </c>
      <c r="N1193" s="16">
        <f t="shared" si="185"/>
        <v>28.575</v>
      </c>
      <c r="O1193" s="16">
        <f t="shared" si="186"/>
        <v>86629.4174227386</v>
      </c>
      <c r="P1193" s="16">
        <f t="shared" si="187"/>
        <v>94072.4111933814</v>
      </c>
      <c r="Q1193" s="16">
        <f t="shared" si="188"/>
        <v>5.89622641509434</v>
      </c>
      <c r="R1193" s="16">
        <f t="shared" si="189"/>
        <v>0.920880163735332</v>
      </c>
      <c r="S1193" s="16">
        <v>34.2957130358705</v>
      </c>
    </row>
    <row r="1194" spans="1:19">
      <c r="A1194" s="5" t="s">
        <v>889</v>
      </c>
      <c r="B1194" s="5">
        <v>57.15</v>
      </c>
      <c r="C1194" s="5">
        <v>1.25</v>
      </c>
      <c r="D1194" s="5">
        <v>490</v>
      </c>
      <c r="E1194" s="5">
        <v>250</v>
      </c>
      <c r="F1194" s="5">
        <v>51.7</v>
      </c>
      <c r="G1194" s="5" t="s">
        <v>860</v>
      </c>
      <c r="H1194" s="5">
        <v>176.5</v>
      </c>
      <c r="I1194" s="14">
        <f t="shared" si="180"/>
        <v>2565.20661293108</v>
      </c>
      <c r="J1194" s="15">
        <f t="shared" si="181"/>
        <v>219.518786669587</v>
      </c>
      <c r="K1194" s="15">
        <f t="shared" si="182"/>
        <v>2345.6878262615</v>
      </c>
      <c r="L1194" s="15">
        <f t="shared" si="183"/>
        <v>0.0855754797929349</v>
      </c>
      <c r="M1194" s="15">
        <f t="shared" si="184"/>
        <v>0.0935839732004966</v>
      </c>
      <c r="N1194" s="16">
        <f t="shared" si="185"/>
        <v>45.72</v>
      </c>
      <c r="O1194" s="16">
        <f t="shared" si="186"/>
        <v>54879.6966673967</v>
      </c>
      <c r="P1194" s="16">
        <f t="shared" si="187"/>
        <v>121272.060617719</v>
      </c>
      <c r="Q1194" s="16">
        <f t="shared" si="188"/>
        <v>4.83558994197292</v>
      </c>
      <c r="R1194" s="16">
        <f t="shared" si="189"/>
        <v>0.452533719538184</v>
      </c>
      <c r="S1194" s="16">
        <v>34.2957130358705</v>
      </c>
    </row>
    <row r="1195" spans="1:19">
      <c r="A1195" s="5" t="s">
        <v>898</v>
      </c>
      <c r="B1195" s="5">
        <v>57.15</v>
      </c>
      <c r="C1195" s="5">
        <v>1.6</v>
      </c>
      <c r="D1195" s="5">
        <v>490</v>
      </c>
      <c r="E1195" s="5">
        <v>250</v>
      </c>
      <c r="F1195" s="5">
        <v>51.7</v>
      </c>
      <c r="G1195" s="5" t="s">
        <v>860</v>
      </c>
      <c r="H1195" s="5">
        <v>192.1</v>
      </c>
      <c r="I1195" s="14">
        <f t="shared" si="180"/>
        <v>2565.20661293108</v>
      </c>
      <c r="J1195" s="15">
        <f t="shared" si="181"/>
        <v>279.224755051061</v>
      </c>
      <c r="K1195" s="15">
        <f t="shared" si="182"/>
        <v>2285.98185788002</v>
      </c>
      <c r="L1195" s="15">
        <f t="shared" si="183"/>
        <v>0.108850785602806</v>
      </c>
      <c r="M1195" s="15">
        <f t="shared" si="184"/>
        <v>0.1221465315171</v>
      </c>
      <c r="N1195" s="16">
        <f t="shared" si="185"/>
        <v>35.71875</v>
      </c>
      <c r="O1195" s="16">
        <f t="shared" si="186"/>
        <v>69806.1887627653</v>
      </c>
      <c r="P1195" s="16">
        <f t="shared" si="187"/>
        <v>118185.262052397</v>
      </c>
      <c r="Q1195" s="16">
        <f t="shared" si="188"/>
        <v>4.83558994197292</v>
      </c>
      <c r="R1195" s="16">
        <f t="shared" si="189"/>
        <v>0.590650539250968</v>
      </c>
      <c r="S1195" s="16">
        <v>34.2957130358705</v>
      </c>
    </row>
    <row r="1196" spans="1:19">
      <c r="A1196" s="5" t="s">
        <v>899</v>
      </c>
      <c r="B1196" s="5">
        <v>57.15</v>
      </c>
      <c r="C1196" s="5">
        <v>2</v>
      </c>
      <c r="D1196" s="5">
        <v>490</v>
      </c>
      <c r="E1196" s="5">
        <v>250</v>
      </c>
      <c r="F1196" s="5">
        <v>51.7</v>
      </c>
      <c r="G1196" s="5" t="s">
        <v>860</v>
      </c>
      <c r="H1196" s="5">
        <v>221.9</v>
      </c>
      <c r="I1196" s="14">
        <f t="shared" si="180"/>
        <v>2565.20661293108</v>
      </c>
      <c r="J1196" s="15">
        <f t="shared" si="181"/>
        <v>346.517669690954</v>
      </c>
      <c r="K1196" s="15">
        <f t="shared" si="182"/>
        <v>2218.68894324013</v>
      </c>
      <c r="L1196" s="15">
        <f t="shared" si="183"/>
        <v>0.135083726957577</v>
      </c>
      <c r="M1196" s="15">
        <f t="shared" si="184"/>
        <v>0.156181275769512</v>
      </c>
      <c r="N1196" s="16">
        <f t="shared" si="185"/>
        <v>28.575</v>
      </c>
      <c r="O1196" s="16">
        <f t="shared" si="186"/>
        <v>86629.4174227386</v>
      </c>
      <c r="P1196" s="16">
        <f t="shared" si="187"/>
        <v>114706.218365515</v>
      </c>
      <c r="Q1196" s="16">
        <f t="shared" si="188"/>
        <v>4.83558994197292</v>
      </c>
      <c r="R1196" s="16">
        <f t="shared" si="189"/>
        <v>0.755228606235553</v>
      </c>
      <c r="S1196" s="16">
        <v>34.2957130358705</v>
      </c>
    </row>
    <row r="1197" spans="1:19">
      <c r="A1197" s="5" t="s">
        <v>900</v>
      </c>
      <c r="B1197" s="5">
        <v>57.15</v>
      </c>
      <c r="C1197" s="5">
        <v>1.25</v>
      </c>
      <c r="D1197" s="5">
        <v>490</v>
      </c>
      <c r="E1197" s="5">
        <v>250</v>
      </c>
      <c r="F1197" s="5">
        <v>60.7</v>
      </c>
      <c r="G1197" s="5" t="s">
        <v>860</v>
      </c>
      <c r="H1197" s="5">
        <v>187.2</v>
      </c>
      <c r="I1197" s="14">
        <f t="shared" si="180"/>
        <v>2565.20661293108</v>
      </c>
      <c r="J1197" s="15">
        <f t="shared" si="181"/>
        <v>219.518786669587</v>
      </c>
      <c r="K1197" s="15">
        <f t="shared" si="182"/>
        <v>2345.6878262615</v>
      </c>
      <c r="L1197" s="15">
        <f t="shared" si="183"/>
        <v>0.0855754797929349</v>
      </c>
      <c r="M1197" s="15">
        <f t="shared" si="184"/>
        <v>0.0935839732004966</v>
      </c>
      <c r="N1197" s="16">
        <f t="shared" si="185"/>
        <v>45.72</v>
      </c>
      <c r="O1197" s="16">
        <f t="shared" si="186"/>
        <v>54879.6966673967</v>
      </c>
      <c r="P1197" s="16">
        <f t="shared" si="187"/>
        <v>142383.251054073</v>
      </c>
      <c r="Q1197" s="16">
        <f t="shared" si="188"/>
        <v>4.11861614497529</v>
      </c>
      <c r="R1197" s="16">
        <f t="shared" si="189"/>
        <v>0.3854364629345</v>
      </c>
      <c r="S1197" s="16">
        <v>34.2957130358705</v>
      </c>
    </row>
    <row r="1198" spans="1:19">
      <c r="A1198" s="5" t="s">
        <v>901</v>
      </c>
      <c r="B1198" s="5">
        <v>57.15</v>
      </c>
      <c r="C1198" s="5">
        <v>1.6</v>
      </c>
      <c r="D1198" s="5">
        <v>490</v>
      </c>
      <c r="E1198" s="5">
        <v>250</v>
      </c>
      <c r="F1198" s="5">
        <v>60.7</v>
      </c>
      <c r="G1198" s="5" t="s">
        <v>860</v>
      </c>
      <c r="H1198" s="5">
        <v>201.5</v>
      </c>
      <c r="I1198" s="14">
        <f t="shared" si="180"/>
        <v>2565.20661293108</v>
      </c>
      <c r="J1198" s="15">
        <f t="shared" si="181"/>
        <v>279.224755051061</v>
      </c>
      <c r="K1198" s="15">
        <f t="shared" si="182"/>
        <v>2285.98185788002</v>
      </c>
      <c r="L1198" s="15">
        <f t="shared" si="183"/>
        <v>0.108850785602806</v>
      </c>
      <c r="M1198" s="15">
        <f t="shared" si="184"/>
        <v>0.1221465315171</v>
      </c>
      <c r="N1198" s="16">
        <f t="shared" si="185"/>
        <v>35.71875</v>
      </c>
      <c r="O1198" s="16">
        <f t="shared" si="186"/>
        <v>69806.1887627653</v>
      </c>
      <c r="P1198" s="16">
        <f t="shared" si="187"/>
        <v>138759.098773317</v>
      </c>
      <c r="Q1198" s="16">
        <f t="shared" si="188"/>
        <v>4.11861614497529</v>
      </c>
      <c r="R1198" s="16">
        <f t="shared" si="189"/>
        <v>0.503074676759062</v>
      </c>
      <c r="S1198" s="16">
        <v>34.2957130358705</v>
      </c>
    </row>
    <row r="1199" spans="1:19">
      <c r="A1199" s="5" t="s">
        <v>902</v>
      </c>
      <c r="B1199" s="5">
        <v>57.15</v>
      </c>
      <c r="C1199" s="5">
        <v>2</v>
      </c>
      <c r="D1199" s="5">
        <v>490</v>
      </c>
      <c r="E1199" s="5">
        <v>250</v>
      </c>
      <c r="F1199" s="5">
        <v>60.7</v>
      </c>
      <c r="G1199" s="5" t="s">
        <v>860</v>
      </c>
      <c r="H1199" s="5">
        <v>231.3</v>
      </c>
      <c r="I1199" s="14">
        <f t="shared" si="180"/>
        <v>2565.20661293108</v>
      </c>
      <c r="J1199" s="15">
        <f t="shared" si="181"/>
        <v>346.517669690954</v>
      </c>
      <c r="K1199" s="15">
        <f t="shared" si="182"/>
        <v>2218.68894324013</v>
      </c>
      <c r="L1199" s="15">
        <f t="shared" si="183"/>
        <v>0.135083726957577</v>
      </c>
      <c r="M1199" s="15">
        <f t="shared" si="184"/>
        <v>0.156181275769512</v>
      </c>
      <c r="N1199" s="16">
        <f t="shared" si="185"/>
        <v>28.575</v>
      </c>
      <c r="O1199" s="16">
        <f t="shared" si="186"/>
        <v>86629.4174227386</v>
      </c>
      <c r="P1199" s="16">
        <f t="shared" si="187"/>
        <v>134674.418854676</v>
      </c>
      <c r="Q1199" s="16">
        <f t="shared" si="188"/>
        <v>4.11861614497529</v>
      </c>
      <c r="R1199" s="16">
        <f t="shared" si="189"/>
        <v>0.643250723927151</v>
      </c>
      <c r="S1199" s="16">
        <v>34.2957130358705</v>
      </c>
    </row>
    <row r="1200" spans="1:19">
      <c r="A1200" s="5" t="s">
        <v>903</v>
      </c>
      <c r="B1200" s="5">
        <v>63.5</v>
      </c>
      <c r="C1200" s="5">
        <v>1.25</v>
      </c>
      <c r="D1200" s="5">
        <v>490</v>
      </c>
      <c r="E1200" s="5">
        <v>250</v>
      </c>
      <c r="F1200" s="5">
        <v>42.4</v>
      </c>
      <c r="G1200" s="5" t="s">
        <v>860</v>
      </c>
      <c r="H1200" s="5">
        <v>191.3</v>
      </c>
      <c r="I1200" s="14">
        <f t="shared" si="180"/>
        <v>3166.92174435936</v>
      </c>
      <c r="J1200" s="15">
        <f t="shared" si="181"/>
        <v>244.455178357456</v>
      </c>
      <c r="K1200" s="15">
        <f t="shared" si="182"/>
        <v>2922.4665660019</v>
      </c>
      <c r="L1200" s="15">
        <f t="shared" si="183"/>
        <v>0.0771901543803088</v>
      </c>
      <c r="M1200" s="15">
        <f t="shared" si="184"/>
        <v>0.083646869121204</v>
      </c>
      <c r="N1200" s="16">
        <f t="shared" si="185"/>
        <v>50.8</v>
      </c>
      <c r="O1200" s="16">
        <f t="shared" si="186"/>
        <v>61113.7945893639</v>
      </c>
      <c r="P1200" s="16">
        <f t="shared" si="187"/>
        <v>123912.582398481</v>
      </c>
      <c r="Q1200" s="16">
        <f t="shared" si="188"/>
        <v>5.89622641509434</v>
      </c>
      <c r="R1200" s="16">
        <f t="shared" si="189"/>
        <v>0.493200879252382</v>
      </c>
      <c r="S1200" s="16">
        <v>30.8661417322835</v>
      </c>
    </row>
    <row r="1201" spans="1:19">
      <c r="A1201" s="5" t="s">
        <v>904</v>
      </c>
      <c r="B1201" s="5">
        <v>63.5</v>
      </c>
      <c r="C1201" s="5">
        <v>1.6</v>
      </c>
      <c r="D1201" s="5">
        <v>490</v>
      </c>
      <c r="E1201" s="5">
        <v>250</v>
      </c>
      <c r="F1201" s="5">
        <v>42.4</v>
      </c>
      <c r="G1201" s="5" t="s">
        <v>860</v>
      </c>
      <c r="H1201" s="5">
        <v>226.3</v>
      </c>
      <c r="I1201" s="14">
        <f t="shared" si="180"/>
        <v>3166.92174435936</v>
      </c>
      <c r="J1201" s="15">
        <f t="shared" si="181"/>
        <v>311.143336411533</v>
      </c>
      <c r="K1201" s="15">
        <f t="shared" si="182"/>
        <v>2855.77840794783</v>
      </c>
      <c r="L1201" s="15">
        <f t="shared" si="183"/>
        <v>0.0982478764957531</v>
      </c>
      <c r="M1201" s="15">
        <f t="shared" si="184"/>
        <v>0.108952198652949</v>
      </c>
      <c r="N1201" s="16">
        <f t="shared" si="185"/>
        <v>39.6875</v>
      </c>
      <c r="O1201" s="16">
        <f t="shared" si="186"/>
        <v>77785.8341028833</v>
      </c>
      <c r="P1201" s="16">
        <f t="shared" si="187"/>
        <v>121085.004496988</v>
      </c>
      <c r="Q1201" s="16">
        <f t="shared" si="188"/>
        <v>5.89622641509434</v>
      </c>
      <c r="R1201" s="16">
        <f t="shared" si="189"/>
        <v>0.642406831680122</v>
      </c>
      <c r="S1201" s="16">
        <v>30.8661417322835</v>
      </c>
    </row>
    <row r="1202" spans="1:19">
      <c r="A1202" s="5" t="s">
        <v>905</v>
      </c>
      <c r="B1202" s="5">
        <v>63.5</v>
      </c>
      <c r="C1202" s="5">
        <v>2</v>
      </c>
      <c r="D1202" s="5">
        <v>490</v>
      </c>
      <c r="E1202" s="5">
        <v>250</v>
      </c>
      <c r="F1202" s="5">
        <v>42.4</v>
      </c>
      <c r="G1202" s="5" t="s">
        <v>860</v>
      </c>
      <c r="H1202" s="5">
        <v>243.6</v>
      </c>
      <c r="I1202" s="14">
        <f t="shared" si="180"/>
        <v>3166.92174435936</v>
      </c>
      <c r="J1202" s="15">
        <f t="shared" si="181"/>
        <v>386.415896391545</v>
      </c>
      <c r="K1202" s="15">
        <f t="shared" si="182"/>
        <v>2780.50584796782</v>
      </c>
      <c r="L1202" s="15">
        <f t="shared" si="183"/>
        <v>0.122016244032488</v>
      </c>
      <c r="M1202" s="15">
        <f t="shared" si="184"/>
        <v>0.138973236353365</v>
      </c>
      <c r="N1202" s="16">
        <f t="shared" si="185"/>
        <v>31.75</v>
      </c>
      <c r="O1202" s="16">
        <f t="shared" si="186"/>
        <v>96603.9740978861</v>
      </c>
      <c r="P1202" s="16">
        <f t="shared" si="187"/>
        <v>117893.447953835</v>
      </c>
      <c r="Q1202" s="16">
        <f t="shared" si="188"/>
        <v>5.89622641509434</v>
      </c>
      <c r="R1202" s="16">
        <f t="shared" si="189"/>
        <v>0.819417667177859</v>
      </c>
      <c r="S1202" s="16">
        <v>30.8661417322835</v>
      </c>
    </row>
    <row r="1203" spans="1:19">
      <c r="A1203" s="5" t="s">
        <v>906</v>
      </c>
      <c r="B1203" s="5">
        <v>63.5</v>
      </c>
      <c r="C1203" s="5">
        <v>1.25</v>
      </c>
      <c r="D1203" s="5">
        <v>490</v>
      </c>
      <c r="E1203" s="5">
        <v>250</v>
      </c>
      <c r="F1203" s="5">
        <v>51.7</v>
      </c>
      <c r="G1203" s="5" t="s">
        <v>860</v>
      </c>
      <c r="H1203" s="5">
        <v>208</v>
      </c>
      <c r="I1203" s="14">
        <f t="shared" si="180"/>
        <v>3166.92174435936</v>
      </c>
      <c r="J1203" s="15">
        <f t="shared" si="181"/>
        <v>244.455178357456</v>
      </c>
      <c r="K1203" s="15">
        <f t="shared" si="182"/>
        <v>2922.4665660019</v>
      </c>
      <c r="L1203" s="15">
        <f t="shared" si="183"/>
        <v>0.0771901543803088</v>
      </c>
      <c r="M1203" s="15">
        <f t="shared" si="184"/>
        <v>0.083646869121204</v>
      </c>
      <c r="N1203" s="16">
        <f t="shared" si="185"/>
        <v>50.8</v>
      </c>
      <c r="O1203" s="16">
        <f t="shared" si="186"/>
        <v>61113.7945893639</v>
      </c>
      <c r="P1203" s="16">
        <f t="shared" si="187"/>
        <v>151091.521462298</v>
      </c>
      <c r="Q1203" s="16">
        <f t="shared" si="188"/>
        <v>4.83558994197292</v>
      </c>
      <c r="R1203" s="16">
        <f t="shared" si="189"/>
        <v>0.404481959000019</v>
      </c>
      <c r="S1203" s="16">
        <v>30.8661417322835</v>
      </c>
    </row>
    <row r="1204" spans="1:19">
      <c r="A1204" s="5" t="s">
        <v>907</v>
      </c>
      <c r="B1204" s="5">
        <v>63.5</v>
      </c>
      <c r="C1204" s="5">
        <v>1.6</v>
      </c>
      <c r="D1204" s="5">
        <v>490</v>
      </c>
      <c r="E1204" s="5">
        <v>250</v>
      </c>
      <c r="F1204" s="5">
        <v>51.7</v>
      </c>
      <c r="G1204" s="5" t="s">
        <v>860</v>
      </c>
      <c r="H1204" s="5">
        <v>240.8</v>
      </c>
      <c r="I1204" s="14">
        <f t="shared" si="180"/>
        <v>3166.92174435936</v>
      </c>
      <c r="J1204" s="15">
        <f t="shared" si="181"/>
        <v>311.143336411533</v>
      </c>
      <c r="K1204" s="15">
        <f t="shared" si="182"/>
        <v>2855.77840794783</v>
      </c>
      <c r="L1204" s="15">
        <f t="shared" si="183"/>
        <v>0.0982478764957531</v>
      </c>
      <c r="M1204" s="15">
        <f t="shared" si="184"/>
        <v>0.108952198652949</v>
      </c>
      <c r="N1204" s="16">
        <f t="shared" si="185"/>
        <v>39.6875</v>
      </c>
      <c r="O1204" s="16">
        <f t="shared" si="186"/>
        <v>77785.8341028833</v>
      </c>
      <c r="P1204" s="16">
        <f t="shared" si="187"/>
        <v>147643.743690903</v>
      </c>
      <c r="Q1204" s="16">
        <f t="shared" si="188"/>
        <v>4.83558994197292</v>
      </c>
      <c r="R1204" s="16">
        <f t="shared" si="189"/>
        <v>0.526848155962034</v>
      </c>
      <c r="S1204" s="16">
        <v>30.8661417322835</v>
      </c>
    </row>
    <row r="1205" spans="1:19">
      <c r="A1205" s="5" t="s">
        <v>908</v>
      </c>
      <c r="B1205" s="5">
        <v>63.5</v>
      </c>
      <c r="C1205" s="5">
        <v>2</v>
      </c>
      <c r="D1205" s="5">
        <v>490</v>
      </c>
      <c r="E1205" s="5">
        <v>250</v>
      </c>
      <c r="F1205" s="5">
        <v>51.7</v>
      </c>
      <c r="G1205" s="5" t="s">
        <v>860</v>
      </c>
      <c r="H1205" s="5">
        <v>269</v>
      </c>
      <c r="I1205" s="14">
        <f t="shared" si="180"/>
        <v>3166.92174435936</v>
      </c>
      <c r="J1205" s="15">
        <f t="shared" si="181"/>
        <v>386.415896391545</v>
      </c>
      <c r="K1205" s="15">
        <f t="shared" si="182"/>
        <v>2780.50584796782</v>
      </c>
      <c r="L1205" s="15">
        <f t="shared" si="183"/>
        <v>0.122016244032488</v>
      </c>
      <c r="M1205" s="15">
        <f t="shared" si="184"/>
        <v>0.138973236353365</v>
      </c>
      <c r="N1205" s="16">
        <f t="shared" si="185"/>
        <v>31.75</v>
      </c>
      <c r="O1205" s="16">
        <f t="shared" si="186"/>
        <v>96603.9740978861</v>
      </c>
      <c r="P1205" s="16">
        <f t="shared" si="187"/>
        <v>143752.152339936</v>
      </c>
      <c r="Q1205" s="16">
        <f t="shared" si="188"/>
        <v>4.83558994197292</v>
      </c>
      <c r="R1205" s="16">
        <f t="shared" si="189"/>
        <v>0.672017583913757</v>
      </c>
      <c r="S1205" s="16">
        <v>30.8661417322835</v>
      </c>
    </row>
    <row r="1206" spans="1:19">
      <c r="A1206" s="5" t="s">
        <v>909</v>
      </c>
      <c r="B1206" s="5">
        <v>63.5</v>
      </c>
      <c r="C1206" s="5">
        <v>1.25</v>
      </c>
      <c r="D1206" s="5">
        <v>490</v>
      </c>
      <c r="E1206" s="5">
        <v>250</v>
      </c>
      <c r="F1206" s="5">
        <v>60.7</v>
      </c>
      <c r="G1206" s="5" t="s">
        <v>860</v>
      </c>
      <c r="H1206" s="5">
        <v>239.1</v>
      </c>
      <c r="I1206" s="14">
        <f t="shared" si="180"/>
        <v>3166.92174435936</v>
      </c>
      <c r="J1206" s="15">
        <f t="shared" si="181"/>
        <v>244.455178357456</v>
      </c>
      <c r="K1206" s="15">
        <f t="shared" si="182"/>
        <v>2922.4665660019</v>
      </c>
      <c r="L1206" s="15">
        <f t="shared" si="183"/>
        <v>0.0771901543803088</v>
      </c>
      <c r="M1206" s="15">
        <f t="shared" si="184"/>
        <v>0.083646869121204</v>
      </c>
      <c r="N1206" s="16">
        <f t="shared" si="185"/>
        <v>50.8</v>
      </c>
      <c r="O1206" s="16">
        <f t="shared" si="186"/>
        <v>61113.7945893639</v>
      </c>
      <c r="P1206" s="16">
        <f t="shared" si="187"/>
        <v>177393.720556316</v>
      </c>
      <c r="Q1206" s="16">
        <f t="shared" si="188"/>
        <v>4.11861614497529</v>
      </c>
      <c r="R1206" s="16">
        <f t="shared" si="189"/>
        <v>0.344509345639226</v>
      </c>
      <c r="S1206" s="16">
        <v>30.8661417322835</v>
      </c>
    </row>
    <row r="1207" spans="1:19">
      <c r="A1207" s="5" t="s">
        <v>910</v>
      </c>
      <c r="B1207" s="5">
        <v>63.5</v>
      </c>
      <c r="C1207" s="5">
        <v>1.6</v>
      </c>
      <c r="D1207" s="5">
        <v>490</v>
      </c>
      <c r="E1207" s="5">
        <v>250</v>
      </c>
      <c r="F1207" s="5">
        <v>60.7</v>
      </c>
      <c r="G1207" s="5" t="s">
        <v>860</v>
      </c>
      <c r="H1207" s="5">
        <v>262</v>
      </c>
      <c r="I1207" s="14">
        <f t="shared" si="180"/>
        <v>3166.92174435936</v>
      </c>
      <c r="J1207" s="15">
        <f t="shared" si="181"/>
        <v>311.143336411533</v>
      </c>
      <c r="K1207" s="15">
        <f t="shared" si="182"/>
        <v>2855.77840794783</v>
      </c>
      <c r="L1207" s="15">
        <f t="shared" si="183"/>
        <v>0.0982478764957531</v>
      </c>
      <c r="M1207" s="15">
        <f t="shared" si="184"/>
        <v>0.108952198652949</v>
      </c>
      <c r="N1207" s="16">
        <f t="shared" si="185"/>
        <v>39.6875</v>
      </c>
      <c r="O1207" s="16">
        <f t="shared" si="186"/>
        <v>77785.8341028833</v>
      </c>
      <c r="P1207" s="16">
        <f t="shared" si="187"/>
        <v>173345.749362433</v>
      </c>
      <c r="Q1207" s="16">
        <f t="shared" si="188"/>
        <v>4.11861614497529</v>
      </c>
      <c r="R1207" s="16">
        <f t="shared" si="189"/>
        <v>0.448732284402589</v>
      </c>
      <c r="S1207" s="16">
        <v>30.8661417322835</v>
      </c>
    </row>
    <row r="1208" spans="1:19">
      <c r="A1208" s="21" t="s">
        <v>911</v>
      </c>
      <c r="B1208" s="21">
        <v>63.5</v>
      </c>
      <c r="C1208" s="21">
        <v>2</v>
      </c>
      <c r="D1208" s="21">
        <v>490</v>
      </c>
      <c r="E1208" s="21">
        <v>250</v>
      </c>
      <c r="F1208" s="21">
        <v>60.7</v>
      </c>
      <c r="G1208" s="21" t="s">
        <v>860</v>
      </c>
      <c r="H1208" s="21">
        <v>280.2</v>
      </c>
      <c r="I1208" s="14">
        <f t="shared" si="180"/>
        <v>3166.92174435936</v>
      </c>
      <c r="J1208" s="15">
        <f t="shared" si="181"/>
        <v>386.415896391545</v>
      </c>
      <c r="K1208" s="15">
        <f t="shared" si="182"/>
        <v>2780.50584796782</v>
      </c>
      <c r="L1208" s="15">
        <f t="shared" si="183"/>
        <v>0.122016244032488</v>
      </c>
      <c r="M1208" s="15">
        <f t="shared" si="184"/>
        <v>0.138973236353365</v>
      </c>
      <c r="N1208" s="16">
        <f t="shared" si="185"/>
        <v>31.75</v>
      </c>
      <c r="O1208" s="16">
        <f t="shared" si="186"/>
        <v>96603.9740978861</v>
      </c>
      <c r="P1208" s="16">
        <f t="shared" si="187"/>
        <v>168776.704971646</v>
      </c>
      <c r="Q1208" s="16">
        <f t="shared" si="188"/>
        <v>4.11861614497529</v>
      </c>
      <c r="R1208" s="16">
        <f t="shared" si="189"/>
        <v>0.572377414964435</v>
      </c>
      <c r="S1208" s="16">
        <v>30.8661417322835</v>
      </c>
    </row>
    <row r="1209" spans="1:19">
      <c r="A1209" s="21" t="s">
        <v>912</v>
      </c>
      <c r="B1209" s="21">
        <v>44.45</v>
      </c>
      <c r="C1209" s="21">
        <v>1.25</v>
      </c>
      <c r="D1209" s="21">
        <v>350</v>
      </c>
      <c r="E1209" s="21">
        <v>250</v>
      </c>
      <c r="F1209" s="21">
        <v>42.4</v>
      </c>
      <c r="G1209" s="21" t="s">
        <v>860</v>
      </c>
      <c r="H1209" s="21">
        <v>83.83</v>
      </c>
      <c r="I1209" s="14">
        <f t="shared" si="180"/>
        <v>1551.79165473609</v>
      </c>
      <c r="J1209" s="15">
        <f t="shared" si="181"/>
        <v>169.646003293849</v>
      </c>
      <c r="K1209" s="15">
        <f t="shared" si="182"/>
        <v>1382.14565144224</v>
      </c>
      <c r="L1209" s="15">
        <f t="shared" si="183"/>
        <v>0.109322667624927</v>
      </c>
      <c r="M1209" s="15">
        <f t="shared" si="184"/>
        <v>0.122741046225358</v>
      </c>
      <c r="N1209" s="16">
        <f t="shared" si="185"/>
        <v>35.56</v>
      </c>
      <c r="O1209" s="16">
        <f t="shared" si="186"/>
        <v>42411.5008234622</v>
      </c>
      <c r="P1209" s="16">
        <f t="shared" si="187"/>
        <v>58602.9756211509</v>
      </c>
      <c r="Q1209" s="16">
        <f t="shared" si="188"/>
        <v>5.89622641509434</v>
      </c>
      <c r="R1209" s="16">
        <f t="shared" si="189"/>
        <v>0.723708998970269</v>
      </c>
      <c r="S1209" s="16">
        <v>31.496062992126</v>
      </c>
    </row>
    <row r="1210" spans="1:19">
      <c r="A1210" s="21" t="s">
        <v>913</v>
      </c>
      <c r="B1210" s="21">
        <v>44.45</v>
      </c>
      <c r="C1210" s="21">
        <v>1.6</v>
      </c>
      <c r="D1210" s="21">
        <v>350</v>
      </c>
      <c r="E1210" s="21">
        <v>250</v>
      </c>
      <c r="F1210" s="21">
        <v>42.4</v>
      </c>
      <c r="G1210" s="21" t="s">
        <v>860</v>
      </c>
      <c r="H1210" s="21">
        <v>93.47</v>
      </c>
      <c r="I1210" s="14">
        <f t="shared" si="180"/>
        <v>1551.79165473609</v>
      </c>
      <c r="J1210" s="15">
        <f t="shared" si="181"/>
        <v>215.387592330116</v>
      </c>
      <c r="K1210" s="15">
        <f t="shared" si="182"/>
        <v>1336.40406240597</v>
      </c>
      <c r="L1210" s="15">
        <f t="shared" si="183"/>
        <v>0.138799298006759</v>
      </c>
      <c r="M1210" s="15">
        <f t="shared" si="184"/>
        <v>0.161169513314968</v>
      </c>
      <c r="N1210" s="16">
        <f t="shared" si="185"/>
        <v>27.78125</v>
      </c>
      <c r="O1210" s="16">
        <f t="shared" si="186"/>
        <v>53846.8980825291</v>
      </c>
      <c r="P1210" s="16">
        <f t="shared" si="187"/>
        <v>56663.5322460132</v>
      </c>
      <c r="Q1210" s="16">
        <f t="shared" si="188"/>
        <v>5.89622641509434</v>
      </c>
      <c r="R1210" s="16">
        <f t="shared" si="189"/>
        <v>0.950291941715613</v>
      </c>
      <c r="S1210" s="16">
        <v>31.496062992126</v>
      </c>
    </row>
    <row r="1211" spans="1:19">
      <c r="A1211" s="21" t="s">
        <v>914</v>
      </c>
      <c r="B1211" s="21">
        <v>44.45</v>
      </c>
      <c r="C1211" s="21">
        <v>2</v>
      </c>
      <c r="D1211" s="21">
        <v>350</v>
      </c>
      <c r="E1211" s="21">
        <v>250</v>
      </c>
      <c r="F1211" s="21">
        <v>42.4</v>
      </c>
      <c r="G1211" s="21" t="s">
        <v>860</v>
      </c>
      <c r="H1211" s="21">
        <v>104.22</v>
      </c>
      <c r="I1211" s="14">
        <f t="shared" si="180"/>
        <v>1551.79165473609</v>
      </c>
      <c r="J1211" s="15">
        <f t="shared" si="181"/>
        <v>266.721216289773</v>
      </c>
      <c r="K1211" s="15">
        <f t="shared" si="182"/>
        <v>1285.07043844631</v>
      </c>
      <c r="L1211" s="15">
        <f t="shared" si="183"/>
        <v>0.171879527432524</v>
      </c>
      <c r="M1211" s="15">
        <f t="shared" si="184"/>
        <v>0.207553771614455</v>
      </c>
      <c r="N1211" s="16">
        <f t="shared" si="185"/>
        <v>22.225</v>
      </c>
      <c r="O1211" s="16">
        <f t="shared" si="186"/>
        <v>66680.3040724433</v>
      </c>
      <c r="P1211" s="16">
        <f t="shared" si="187"/>
        <v>54486.9865901237</v>
      </c>
      <c r="Q1211" s="16">
        <f t="shared" si="188"/>
        <v>5.89622641509434</v>
      </c>
      <c r="R1211" s="16">
        <f t="shared" si="189"/>
        <v>1.22378403074561</v>
      </c>
      <c r="S1211" s="16">
        <v>31.496062992126</v>
      </c>
    </row>
    <row r="1212" spans="1:19">
      <c r="A1212" s="21" t="s">
        <v>915</v>
      </c>
      <c r="B1212" s="21">
        <v>44.45</v>
      </c>
      <c r="C1212" s="21">
        <v>1.25</v>
      </c>
      <c r="D1212" s="21">
        <v>350</v>
      </c>
      <c r="E1212" s="21">
        <v>250</v>
      </c>
      <c r="F1212" s="21">
        <v>51.7</v>
      </c>
      <c r="G1212" s="21" t="s">
        <v>860</v>
      </c>
      <c r="H1212" s="21">
        <v>95.19</v>
      </c>
      <c r="I1212" s="14">
        <f t="shared" si="180"/>
        <v>1551.79165473609</v>
      </c>
      <c r="J1212" s="15">
        <f t="shared" si="181"/>
        <v>169.646003293849</v>
      </c>
      <c r="K1212" s="15">
        <f t="shared" si="182"/>
        <v>1382.14565144224</v>
      </c>
      <c r="L1212" s="15">
        <f t="shared" si="183"/>
        <v>0.109322667624927</v>
      </c>
      <c r="M1212" s="15">
        <f t="shared" si="184"/>
        <v>0.122741046225358</v>
      </c>
      <c r="N1212" s="16">
        <f t="shared" si="185"/>
        <v>35.56</v>
      </c>
      <c r="O1212" s="16">
        <f t="shared" si="186"/>
        <v>42411.5008234622</v>
      </c>
      <c r="P1212" s="16">
        <f t="shared" si="187"/>
        <v>71456.9301795637</v>
      </c>
      <c r="Q1212" s="16">
        <f t="shared" si="188"/>
        <v>4.83558994197292</v>
      </c>
      <c r="R1212" s="16">
        <f t="shared" si="189"/>
        <v>0.593525368594573</v>
      </c>
      <c r="S1212" s="16">
        <v>31.496062992126</v>
      </c>
    </row>
    <row r="1213" spans="1:19">
      <c r="A1213" s="21" t="s">
        <v>916</v>
      </c>
      <c r="B1213" s="21">
        <v>44.45</v>
      </c>
      <c r="C1213" s="21">
        <v>1.6</v>
      </c>
      <c r="D1213" s="21">
        <v>350</v>
      </c>
      <c r="E1213" s="21">
        <v>250</v>
      </c>
      <c r="F1213" s="21">
        <v>51.7</v>
      </c>
      <c r="G1213" s="21" t="s">
        <v>860</v>
      </c>
      <c r="H1213" s="21">
        <v>104.45</v>
      </c>
      <c r="I1213" s="14">
        <f t="shared" si="180"/>
        <v>1551.79165473609</v>
      </c>
      <c r="J1213" s="15">
        <f t="shared" si="181"/>
        <v>215.387592330116</v>
      </c>
      <c r="K1213" s="15">
        <f t="shared" si="182"/>
        <v>1336.40406240597</v>
      </c>
      <c r="L1213" s="15">
        <f t="shared" si="183"/>
        <v>0.138799298006759</v>
      </c>
      <c r="M1213" s="15">
        <f t="shared" si="184"/>
        <v>0.161169513314968</v>
      </c>
      <c r="N1213" s="16">
        <f t="shared" si="185"/>
        <v>27.78125</v>
      </c>
      <c r="O1213" s="16">
        <f t="shared" si="186"/>
        <v>53846.8980825291</v>
      </c>
      <c r="P1213" s="16">
        <f t="shared" si="187"/>
        <v>69092.0900263887</v>
      </c>
      <c r="Q1213" s="16">
        <f t="shared" si="188"/>
        <v>4.83558994197292</v>
      </c>
      <c r="R1213" s="16">
        <f t="shared" si="189"/>
        <v>0.77934967753853</v>
      </c>
      <c r="S1213" s="16">
        <v>31.496062992126</v>
      </c>
    </row>
    <row r="1214" spans="1:19">
      <c r="A1214" s="21" t="s">
        <v>917</v>
      </c>
      <c r="B1214" s="21">
        <v>44.45</v>
      </c>
      <c r="C1214" s="21">
        <v>2</v>
      </c>
      <c r="D1214" s="21">
        <v>350</v>
      </c>
      <c r="E1214" s="21">
        <v>250</v>
      </c>
      <c r="F1214" s="21">
        <v>51.7</v>
      </c>
      <c r="G1214" s="21" t="s">
        <v>860</v>
      </c>
      <c r="H1214" s="21">
        <v>114.77</v>
      </c>
      <c r="I1214" s="14">
        <f t="shared" si="180"/>
        <v>1551.79165473609</v>
      </c>
      <c r="J1214" s="15">
        <f t="shared" si="181"/>
        <v>266.721216289773</v>
      </c>
      <c r="K1214" s="15">
        <f t="shared" si="182"/>
        <v>1285.07043844631</v>
      </c>
      <c r="L1214" s="15">
        <f t="shared" si="183"/>
        <v>0.171879527432524</v>
      </c>
      <c r="M1214" s="15">
        <f t="shared" si="184"/>
        <v>0.207553771614455</v>
      </c>
      <c r="N1214" s="16">
        <f t="shared" si="185"/>
        <v>22.225</v>
      </c>
      <c r="O1214" s="16">
        <f t="shared" si="186"/>
        <v>66680.3040724433</v>
      </c>
      <c r="P1214" s="16">
        <f t="shared" si="187"/>
        <v>66438.1416676744</v>
      </c>
      <c r="Q1214" s="16">
        <f t="shared" si="188"/>
        <v>4.83558994197292</v>
      </c>
      <c r="R1214" s="16">
        <f t="shared" si="189"/>
        <v>1.0036449304374</v>
      </c>
      <c r="S1214" s="16">
        <v>31.496062992126</v>
      </c>
    </row>
    <row r="1215" spans="1:19">
      <c r="A1215" s="21" t="s">
        <v>918</v>
      </c>
      <c r="B1215" s="21">
        <v>44.45</v>
      </c>
      <c r="C1215" s="21">
        <v>1.25</v>
      </c>
      <c r="D1215" s="21">
        <v>350</v>
      </c>
      <c r="E1215" s="21">
        <v>250</v>
      </c>
      <c r="F1215" s="21">
        <v>60.7</v>
      </c>
      <c r="G1215" s="21" t="s">
        <v>860</v>
      </c>
      <c r="H1215" s="21">
        <v>106.52</v>
      </c>
      <c r="I1215" s="14">
        <f t="shared" si="180"/>
        <v>1551.79165473609</v>
      </c>
      <c r="J1215" s="15">
        <f t="shared" si="181"/>
        <v>169.646003293849</v>
      </c>
      <c r="K1215" s="15">
        <f t="shared" si="182"/>
        <v>1382.14565144224</v>
      </c>
      <c r="L1215" s="15">
        <f t="shared" si="183"/>
        <v>0.109322667624927</v>
      </c>
      <c r="M1215" s="15">
        <f t="shared" si="184"/>
        <v>0.122741046225358</v>
      </c>
      <c r="N1215" s="16">
        <f t="shared" si="185"/>
        <v>35.56</v>
      </c>
      <c r="O1215" s="16">
        <f t="shared" si="186"/>
        <v>42411.5008234622</v>
      </c>
      <c r="P1215" s="16">
        <f t="shared" si="187"/>
        <v>83896.2410425439</v>
      </c>
      <c r="Q1215" s="16">
        <f t="shared" si="188"/>
        <v>4.11861614497529</v>
      </c>
      <c r="R1215" s="16">
        <f t="shared" si="189"/>
        <v>0.505523254634916</v>
      </c>
      <c r="S1215" s="16">
        <v>31.496062992126</v>
      </c>
    </row>
    <row r="1216" spans="1:19">
      <c r="A1216" s="21" t="s">
        <v>919</v>
      </c>
      <c r="B1216" s="21">
        <v>44.45</v>
      </c>
      <c r="C1216" s="21">
        <v>1.6</v>
      </c>
      <c r="D1216" s="21">
        <v>350</v>
      </c>
      <c r="E1216" s="21">
        <v>250</v>
      </c>
      <c r="F1216" s="21">
        <v>60.7</v>
      </c>
      <c r="G1216" s="21" t="s">
        <v>860</v>
      </c>
      <c r="H1216" s="21">
        <v>115.38</v>
      </c>
      <c r="I1216" s="14">
        <f t="shared" si="180"/>
        <v>1551.79165473609</v>
      </c>
      <c r="J1216" s="15">
        <f t="shared" si="181"/>
        <v>215.387592330116</v>
      </c>
      <c r="K1216" s="15">
        <f t="shared" si="182"/>
        <v>1336.40406240597</v>
      </c>
      <c r="L1216" s="15">
        <f t="shared" si="183"/>
        <v>0.138799298006759</v>
      </c>
      <c r="M1216" s="15">
        <f t="shared" si="184"/>
        <v>0.161169513314968</v>
      </c>
      <c r="N1216" s="16">
        <f t="shared" si="185"/>
        <v>27.78125</v>
      </c>
      <c r="O1216" s="16">
        <f t="shared" si="186"/>
        <v>53846.8980825291</v>
      </c>
      <c r="P1216" s="16">
        <f t="shared" si="187"/>
        <v>81119.7265880424</v>
      </c>
      <c r="Q1216" s="16">
        <f t="shared" si="188"/>
        <v>4.11861614497529</v>
      </c>
      <c r="R1216" s="16">
        <f t="shared" si="189"/>
        <v>0.663795359616837</v>
      </c>
      <c r="S1216" s="16">
        <v>31.496062992126</v>
      </c>
    </row>
    <row r="1217" spans="1:19">
      <c r="A1217" s="21" t="s">
        <v>920</v>
      </c>
      <c r="B1217" s="21">
        <v>44.45</v>
      </c>
      <c r="C1217" s="21">
        <v>2</v>
      </c>
      <c r="D1217" s="21">
        <v>350</v>
      </c>
      <c r="E1217" s="21">
        <v>250</v>
      </c>
      <c r="F1217" s="21">
        <v>60.7</v>
      </c>
      <c r="G1217" s="21" t="s">
        <v>860</v>
      </c>
      <c r="H1217" s="21">
        <v>125.27</v>
      </c>
      <c r="I1217" s="14">
        <f t="shared" si="180"/>
        <v>1551.79165473609</v>
      </c>
      <c r="J1217" s="15">
        <f t="shared" si="181"/>
        <v>266.721216289773</v>
      </c>
      <c r="K1217" s="15">
        <f t="shared" si="182"/>
        <v>1285.07043844631</v>
      </c>
      <c r="L1217" s="15">
        <f t="shared" si="183"/>
        <v>0.171879527432524</v>
      </c>
      <c r="M1217" s="15">
        <f t="shared" si="184"/>
        <v>0.207553771614455</v>
      </c>
      <c r="N1217" s="16">
        <f t="shared" si="185"/>
        <v>22.225</v>
      </c>
      <c r="O1217" s="16">
        <f t="shared" si="186"/>
        <v>66680.3040724433</v>
      </c>
      <c r="P1217" s="16">
        <f t="shared" si="187"/>
        <v>78003.7756136912</v>
      </c>
      <c r="Q1217" s="16">
        <f t="shared" si="188"/>
        <v>4.11861614497529</v>
      </c>
      <c r="R1217" s="16">
        <f t="shared" si="189"/>
        <v>0.854834314721807</v>
      </c>
      <c r="S1217" s="16">
        <v>31.496062992126</v>
      </c>
    </row>
    <row r="1218" spans="1:19">
      <c r="A1218" s="21" t="s">
        <v>921</v>
      </c>
      <c r="B1218" s="21">
        <v>57.15</v>
      </c>
      <c r="C1218" s="21">
        <v>1.25</v>
      </c>
      <c r="D1218" s="21">
        <v>350</v>
      </c>
      <c r="E1218" s="21">
        <v>250</v>
      </c>
      <c r="F1218" s="21">
        <v>42.4</v>
      </c>
      <c r="G1218" s="21" t="s">
        <v>860</v>
      </c>
      <c r="H1218" s="21">
        <v>126.4</v>
      </c>
      <c r="I1218" s="14">
        <f t="shared" si="180"/>
        <v>2565.20661293108</v>
      </c>
      <c r="J1218" s="15">
        <f t="shared" si="181"/>
        <v>219.518786669587</v>
      </c>
      <c r="K1218" s="15">
        <f t="shared" si="182"/>
        <v>2345.6878262615</v>
      </c>
      <c r="L1218" s="15">
        <f t="shared" si="183"/>
        <v>0.0855754797929349</v>
      </c>
      <c r="M1218" s="15">
        <f t="shared" si="184"/>
        <v>0.0935839732004966</v>
      </c>
      <c r="N1218" s="16">
        <f t="shared" si="185"/>
        <v>45.72</v>
      </c>
      <c r="O1218" s="16">
        <f t="shared" si="186"/>
        <v>54879.6966673967</v>
      </c>
      <c r="P1218" s="16">
        <f t="shared" si="187"/>
        <v>99457.1638334874</v>
      </c>
      <c r="Q1218" s="16">
        <f t="shared" si="188"/>
        <v>5.89622641509434</v>
      </c>
      <c r="R1218" s="16">
        <f t="shared" si="189"/>
        <v>0.551792294814249</v>
      </c>
      <c r="S1218" s="16">
        <v>24.4969378827647</v>
      </c>
    </row>
    <row r="1219" spans="1:19">
      <c r="A1219" s="21" t="s">
        <v>922</v>
      </c>
      <c r="B1219" s="21">
        <v>57.15</v>
      </c>
      <c r="C1219" s="21">
        <v>1.6</v>
      </c>
      <c r="D1219" s="21">
        <v>350</v>
      </c>
      <c r="E1219" s="21">
        <v>250</v>
      </c>
      <c r="F1219" s="21">
        <v>42.4</v>
      </c>
      <c r="G1219" s="21" t="s">
        <v>860</v>
      </c>
      <c r="H1219" s="21">
        <v>139.22</v>
      </c>
      <c r="I1219" s="14">
        <f t="shared" ref="I1219:I1246" si="190">(PI()*B1219^2)/4</f>
        <v>2565.20661293108</v>
      </c>
      <c r="J1219" s="15">
        <f t="shared" ref="J1219:J1246" si="191">(PI()*(B1219^2-(B1219-2*C1219)^2))/4</f>
        <v>279.224755051061</v>
      </c>
      <c r="K1219" s="15">
        <f t="shared" ref="K1219:K1246" si="192">(PI()*(B1219-2*C1219)^2)/4</f>
        <v>2285.98185788002</v>
      </c>
      <c r="L1219" s="15">
        <f t="shared" ref="L1219:L1246" si="193">J1219/I1219</f>
        <v>0.108850785602806</v>
      </c>
      <c r="M1219" s="15">
        <f t="shared" ref="M1219:M1246" si="194">J1219/K1219</f>
        <v>0.1221465315171</v>
      </c>
      <c r="N1219" s="16">
        <f t="shared" ref="N1219:N1246" si="195">B1219/C1219</f>
        <v>35.71875</v>
      </c>
      <c r="O1219" s="16">
        <f t="shared" ref="O1219:O1246" si="196">J1219*E1219</f>
        <v>69806.1887627653</v>
      </c>
      <c r="P1219" s="16">
        <f t="shared" ref="P1219:P1246" si="197">K1219*F1219</f>
        <v>96925.6307741129</v>
      </c>
      <c r="Q1219" s="16">
        <f t="shared" ref="Q1219:Q1246" si="198">E1219/F1219</f>
        <v>5.89622641509434</v>
      </c>
      <c r="R1219" s="16">
        <f t="shared" ref="R1219:R1246" si="199">O1219/P1219</f>
        <v>0.720203605643279</v>
      </c>
      <c r="S1219" s="16">
        <v>24.4969378827647</v>
      </c>
    </row>
    <row r="1220" spans="1:19">
      <c r="A1220" s="21" t="s">
        <v>923</v>
      </c>
      <c r="B1220" s="21">
        <v>57.15</v>
      </c>
      <c r="C1220" s="21">
        <v>2</v>
      </c>
      <c r="D1220" s="21">
        <v>350</v>
      </c>
      <c r="E1220" s="21">
        <v>250</v>
      </c>
      <c r="F1220" s="21">
        <v>42.4</v>
      </c>
      <c r="G1220" s="21" t="s">
        <v>860</v>
      </c>
      <c r="H1220" s="21">
        <v>153.62</v>
      </c>
      <c r="I1220" s="14">
        <f t="shared" si="190"/>
        <v>2565.20661293108</v>
      </c>
      <c r="J1220" s="15">
        <f t="shared" si="191"/>
        <v>346.517669690954</v>
      </c>
      <c r="K1220" s="15">
        <f t="shared" si="192"/>
        <v>2218.68894324013</v>
      </c>
      <c r="L1220" s="15">
        <f t="shared" si="193"/>
        <v>0.135083726957577</v>
      </c>
      <c r="M1220" s="15">
        <f t="shared" si="194"/>
        <v>0.156181275769512</v>
      </c>
      <c r="N1220" s="16">
        <f t="shared" si="195"/>
        <v>28.575</v>
      </c>
      <c r="O1220" s="16">
        <f t="shared" si="196"/>
        <v>86629.4174227386</v>
      </c>
      <c r="P1220" s="16">
        <f t="shared" si="197"/>
        <v>94072.4111933814</v>
      </c>
      <c r="Q1220" s="16">
        <f t="shared" si="198"/>
        <v>5.89622641509434</v>
      </c>
      <c r="R1220" s="16">
        <f t="shared" si="199"/>
        <v>0.920880163735332</v>
      </c>
      <c r="S1220" s="16">
        <v>24.4969378827647</v>
      </c>
    </row>
    <row r="1221" spans="1:19">
      <c r="A1221" s="21" t="s">
        <v>915</v>
      </c>
      <c r="B1221" s="21">
        <v>57.15</v>
      </c>
      <c r="C1221" s="21">
        <v>1.25</v>
      </c>
      <c r="D1221" s="21">
        <v>350</v>
      </c>
      <c r="E1221" s="21">
        <v>250</v>
      </c>
      <c r="F1221" s="21">
        <v>51.7</v>
      </c>
      <c r="G1221" s="21" t="s">
        <v>860</v>
      </c>
      <c r="H1221" s="21">
        <v>145.86</v>
      </c>
      <c r="I1221" s="14">
        <f t="shared" si="190"/>
        <v>2565.20661293108</v>
      </c>
      <c r="J1221" s="15">
        <f t="shared" si="191"/>
        <v>219.518786669587</v>
      </c>
      <c r="K1221" s="15">
        <f t="shared" si="192"/>
        <v>2345.6878262615</v>
      </c>
      <c r="L1221" s="15">
        <f t="shared" si="193"/>
        <v>0.0855754797929349</v>
      </c>
      <c r="M1221" s="15">
        <f t="shared" si="194"/>
        <v>0.0935839732004966</v>
      </c>
      <c r="N1221" s="16">
        <f t="shared" si="195"/>
        <v>45.72</v>
      </c>
      <c r="O1221" s="16">
        <f t="shared" si="196"/>
        <v>54879.6966673967</v>
      </c>
      <c r="P1221" s="16">
        <f t="shared" si="197"/>
        <v>121272.060617719</v>
      </c>
      <c r="Q1221" s="16">
        <f t="shared" si="198"/>
        <v>4.83558994197292</v>
      </c>
      <c r="R1221" s="16">
        <f t="shared" si="199"/>
        <v>0.452533719538184</v>
      </c>
      <c r="S1221" s="16">
        <v>24.4969378827647</v>
      </c>
    </row>
    <row r="1222" spans="1:19">
      <c r="A1222" s="21" t="s">
        <v>924</v>
      </c>
      <c r="B1222" s="21">
        <v>57.15</v>
      </c>
      <c r="C1222" s="21">
        <v>1.6</v>
      </c>
      <c r="D1222" s="21">
        <v>350</v>
      </c>
      <c r="E1222" s="21">
        <v>250</v>
      </c>
      <c r="F1222" s="21">
        <v>51.7</v>
      </c>
      <c r="G1222" s="21" t="s">
        <v>860</v>
      </c>
      <c r="H1222" s="21">
        <v>158.17</v>
      </c>
      <c r="I1222" s="14">
        <f t="shared" si="190"/>
        <v>2565.20661293108</v>
      </c>
      <c r="J1222" s="15">
        <f t="shared" si="191"/>
        <v>279.224755051061</v>
      </c>
      <c r="K1222" s="15">
        <f t="shared" si="192"/>
        <v>2285.98185788002</v>
      </c>
      <c r="L1222" s="15">
        <f t="shared" si="193"/>
        <v>0.108850785602806</v>
      </c>
      <c r="M1222" s="15">
        <f t="shared" si="194"/>
        <v>0.1221465315171</v>
      </c>
      <c r="N1222" s="16">
        <f t="shared" si="195"/>
        <v>35.71875</v>
      </c>
      <c r="O1222" s="16">
        <f t="shared" si="196"/>
        <v>69806.1887627653</v>
      </c>
      <c r="P1222" s="16">
        <f t="shared" si="197"/>
        <v>118185.262052397</v>
      </c>
      <c r="Q1222" s="16">
        <f t="shared" si="198"/>
        <v>4.83558994197292</v>
      </c>
      <c r="R1222" s="16">
        <f t="shared" si="199"/>
        <v>0.590650539250968</v>
      </c>
      <c r="S1222" s="16">
        <v>24.4969378827647</v>
      </c>
    </row>
    <row r="1223" spans="1:19">
      <c r="A1223" s="21" t="s">
        <v>925</v>
      </c>
      <c r="B1223" s="21">
        <v>57.15</v>
      </c>
      <c r="C1223" s="21">
        <v>2</v>
      </c>
      <c r="D1223" s="21">
        <v>350</v>
      </c>
      <c r="E1223" s="21">
        <v>250</v>
      </c>
      <c r="F1223" s="21">
        <v>51.7</v>
      </c>
      <c r="G1223" s="21" t="s">
        <v>860</v>
      </c>
      <c r="H1223" s="21">
        <v>172</v>
      </c>
      <c r="I1223" s="14">
        <f t="shared" si="190"/>
        <v>2565.20661293108</v>
      </c>
      <c r="J1223" s="15">
        <f t="shared" si="191"/>
        <v>346.517669690954</v>
      </c>
      <c r="K1223" s="15">
        <f t="shared" si="192"/>
        <v>2218.68894324013</v>
      </c>
      <c r="L1223" s="15">
        <f t="shared" si="193"/>
        <v>0.135083726957577</v>
      </c>
      <c r="M1223" s="15">
        <f t="shared" si="194"/>
        <v>0.156181275769512</v>
      </c>
      <c r="N1223" s="16">
        <f t="shared" si="195"/>
        <v>28.575</v>
      </c>
      <c r="O1223" s="16">
        <f t="shared" si="196"/>
        <v>86629.4174227386</v>
      </c>
      <c r="P1223" s="16">
        <f t="shared" si="197"/>
        <v>114706.218365515</v>
      </c>
      <c r="Q1223" s="16">
        <f t="shared" si="198"/>
        <v>4.83558994197292</v>
      </c>
      <c r="R1223" s="16">
        <f t="shared" si="199"/>
        <v>0.755228606235553</v>
      </c>
      <c r="S1223" s="16">
        <v>24.4969378827647</v>
      </c>
    </row>
    <row r="1224" spans="1:19">
      <c r="A1224" s="21" t="s">
        <v>926</v>
      </c>
      <c r="B1224" s="21">
        <v>57.15</v>
      </c>
      <c r="C1224" s="21">
        <v>1.25</v>
      </c>
      <c r="D1224" s="21">
        <v>350</v>
      </c>
      <c r="E1224" s="21">
        <v>250</v>
      </c>
      <c r="F1224" s="21">
        <v>60.7</v>
      </c>
      <c r="G1224" s="21" t="s">
        <v>860</v>
      </c>
      <c r="H1224" s="21">
        <v>165.26</v>
      </c>
      <c r="I1224" s="14">
        <f t="shared" si="190"/>
        <v>2565.20661293108</v>
      </c>
      <c r="J1224" s="15">
        <f t="shared" si="191"/>
        <v>219.518786669587</v>
      </c>
      <c r="K1224" s="15">
        <f t="shared" si="192"/>
        <v>2345.6878262615</v>
      </c>
      <c r="L1224" s="15">
        <f t="shared" si="193"/>
        <v>0.0855754797929349</v>
      </c>
      <c r="M1224" s="15">
        <f t="shared" si="194"/>
        <v>0.0935839732004966</v>
      </c>
      <c r="N1224" s="16">
        <f t="shared" si="195"/>
        <v>45.72</v>
      </c>
      <c r="O1224" s="16">
        <f t="shared" si="196"/>
        <v>54879.6966673967</v>
      </c>
      <c r="P1224" s="16">
        <f t="shared" si="197"/>
        <v>142383.251054073</v>
      </c>
      <c r="Q1224" s="16">
        <f t="shared" si="198"/>
        <v>4.11861614497529</v>
      </c>
      <c r="R1224" s="16">
        <f t="shared" si="199"/>
        <v>0.3854364629345</v>
      </c>
      <c r="S1224" s="16">
        <v>24.4969378827647</v>
      </c>
    </row>
    <row r="1225" spans="1:19">
      <c r="A1225" s="21" t="s">
        <v>927</v>
      </c>
      <c r="B1225" s="21">
        <v>57.15</v>
      </c>
      <c r="C1225" s="21">
        <v>1.6</v>
      </c>
      <c r="D1225" s="21">
        <v>350</v>
      </c>
      <c r="E1225" s="21">
        <v>250</v>
      </c>
      <c r="F1225" s="21">
        <v>60.7</v>
      </c>
      <c r="G1225" s="21" t="s">
        <v>860</v>
      </c>
      <c r="H1225" s="21">
        <v>177.06</v>
      </c>
      <c r="I1225" s="14">
        <f t="shared" si="190"/>
        <v>2565.20661293108</v>
      </c>
      <c r="J1225" s="15">
        <f t="shared" si="191"/>
        <v>279.224755051061</v>
      </c>
      <c r="K1225" s="15">
        <f t="shared" si="192"/>
        <v>2285.98185788002</v>
      </c>
      <c r="L1225" s="15">
        <f t="shared" si="193"/>
        <v>0.108850785602806</v>
      </c>
      <c r="M1225" s="15">
        <f t="shared" si="194"/>
        <v>0.1221465315171</v>
      </c>
      <c r="N1225" s="16">
        <f t="shared" si="195"/>
        <v>35.71875</v>
      </c>
      <c r="O1225" s="16">
        <f t="shared" si="196"/>
        <v>69806.1887627653</v>
      </c>
      <c r="P1225" s="16">
        <f t="shared" si="197"/>
        <v>138759.098773317</v>
      </c>
      <c r="Q1225" s="16">
        <f t="shared" si="198"/>
        <v>4.11861614497529</v>
      </c>
      <c r="R1225" s="16">
        <f t="shared" si="199"/>
        <v>0.503074676759062</v>
      </c>
      <c r="S1225" s="16">
        <v>24.4969378827647</v>
      </c>
    </row>
    <row r="1226" spans="1:19">
      <c r="A1226" s="21" t="s">
        <v>928</v>
      </c>
      <c r="B1226" s="21">
        <v>57.15</v>
      </c>
      <c r="C1226" s="21">
        <v>2</v>
      </c>
      <c r="D1226" s="21">
        <v>350</v>
      </c>
      <c r="E1226" s="21">
        <v>250</v>
      </c>
      <c r="F1226" s="21">
        <v>60.7</v>
      </c>
      <c r="G1226" s="21" t="s">
        <v>860</v>
      </c>
      <c r="H1226" s="21">
        <v>190.33</v>
      </c>
      <c r="I1226" s="14">
        <f t="shared" si="190"/>
        <v>2565.20661293108</v>
      </c>
      <c r="J1226" s="15">
        <f t="shared" si="191"/>
        <v>346.517669690954</v>
      </c>
      <c r="K1226" s="15">
        <f t="shared" si="192"/>
        <v>2218.68894324013</v>
      </c>
      <c r="L1226" s="15">
        <f t="shared" si="193"/>
        <v>0.135083726957577</v>
      </c>
      <c r="M1226" s="15">
        <f t="shared" si="194"/>
        <v>0.156181275769512</v>
      </c>
      <c r="N1226" s="16">
        <f t="shared" si="195"/>
        <v>28.575</v>
      </c>
      <c r="O1226" s="16">
        <f t="shared" si="196"/>
        <v>86629.4174227386</v>
      </c>
      <c r="P1226" s="16">
        <f t="shared" si="197"/>
        <v>134674.418854676</v>
      </c>
      <c r="Q1226" s="16">
        <f t="shared" si="198"/>
        <v>4.11861614497529</v>
      </c>
      <c r="R1226" s="16">
        <f t="shared" si="199"/>
        <v>0.643250723927151</v>
      </c>
      <c r="S1226" s="16">
        <v>24.4969378827647</v>
      </c>
    </row>
    <row r="1227" spans="1:19">
      <c r="A1227" s="21" t="s">
        <v>929</v>
      </c>
      <c r="B1227" s="21">
        <v>63.5</v>
      </c>
      <c r="C1227" s="21">
        <v>1.25</v>
      </c>
      <c r="D1227" s="21">
        <v>350</v>
      </c>
      <c r="E1227" s="21">
        <v>250</v>
      </c>
      <c r="F1227" s="21">
        <v>42.4</v>
      </c>
      <c r="G1227" s="21" t="s">
        <v>860</v>
      </c>
      <c r="H1227" s="21">
        <v>150.42</v>
      </c>
      <c r="I1227" s="14">
        <f t="shared" si="190"/>
        <v>3166.92174435936</v>
      </c>
      <c r="J1227" s="15">
        <f t="shared" si="191"/>
        <v>244.455178357456</v>
      </c>
      <c r="K1227" s="15">
        <f t="shared" si="192"/>
        <v>2922.4665660019</v>
      </c>
      <c r="L1227" s="15">
        <f t="shared" si="193"/>
        <v>0.0771901543803088</v>
      </c>
      <c r="M1227" s="15">
        <f t="shared" si="194"/>
        <v>0.083646869121204</v>
      </c>
      <c r="N1227" s="16">
        <f t="shared" si="195"/>
        <v>50.8</v>
      </c>
      <c r="O1227" s="16">
        <f t="shared" si="196"/>
        <v>61113.7945893639</v>
      </c>
      <c r="P1227" s="16">
        <f t="shared" si="197"/>
        <v>123912.582398481</v>
      </c>
      <c r="Q1227" s="16">
        <f t="shared" si="198"/>
        <v>5.89622641509434</v>
      </c>
      <c r="R1227" s="16">
        <f t="shared" si="199"/>
        <v>0.493200879252382</v>
      </c>
      <c r="S1227" s="16">
        <v>22.0472440944882</v>
      </c>
    </row>
    <row r="1228" spans="1:19">
      <c r="A1228" s="21" t="s">
        <v>930</v>
      </c>
      <c r="B1228" s="21">
        <v>63.5</v>
      </c>
      <c r="C1228" s="21">
        <v>1.6</v>
      </c>
      <c r="D1228" s="21">
        <v>350</v>
      </c>
      <c r="E1228" s="21">
        <v>250</v>
      </c>
      <c r="F1228" s="21">
        <v>42.4</v>
      </c>
      <c r="G1228" s="21" t="s">
        <v>860</v>
      </c>
      <c r="H1228" s="21">
        <v>164.95</v>
      </c>
      <c r="I1228" s="14">
        <f t="shared" si="190"/>
        <v>3166.92174435936</v>
      </c>
      <c r="J1228" s="15">
        <f t="shared" si="191"/>
        <v>311.143336411533</v>
      </c>
      <c r="K1228" s="15">
        <f t="shared" si="192"/>
        <v>2855.77840794783</v>
      </c>
      <c r="L1228" s="15">
        <f t="shared" si="193"/>
        <v>0.0982478764957531</v>
      </c>
      <c r="M1228" s="15">
        <f t="shared" si="194"/>
        <v>0.108952198652949</v>
      </c>
      <c r="N1228" s="16">
        <f t="shared" si="195"/>
        <v>39.6875</v>
      </c>
      <c r="O1228" s="16">
        <f t="shared" si="196"/>
        <v>77785.8341028833</v>
      </c>
      <c r="P1228" s="16">
        <f t="shared" si="197"/>
        <v>121085.004496988</v>
      </c>
      <c r="Q1228" s="16">
        <f t="shared" si="198"/>
        <v>5.89622641509434</v>
      </c>
      <c r="R1228" s="16">
        <f t="shared" si="199"/>
        <v>0.642406831680122</v>
      </c>
      <c r="S1228" s="16">
        <v>22.0472440944882</v>
      </c>
    </row>
    <row r="1229" spans="1:19">
      <c r="A1229" s="21" t="s">
        <v>931</v>
      </c>
      <c r="B1229" s="21">
        <v>63.5</v>
      </c>
      <c r="C1229" s="21">
        <v>2</v>
      </c>
      <c r="D1229" s="21">
        <v>350</v>
      </c>
      <c r="E1229" s="21">
        <v>250</v>
      </c>
      <c r="F1229" s="21">
        <v>42.4</v>
      </c>
      <c r="G1229" s="21" t="s">
        <v>860</v>
      </c>
      <c r="H1229" s="21">
        <v>181.34</v>
      </c>
      <c r="I1229" s="14">
        <f t="shared" si="190"/>
        <v>3166.92174435936</v>
      </c>
      <c r="J1229" s="15">
        <f t="shared" si="191"/>
        <v>386.415896391545</v>
      </c>
      <c r="K1229" s="15">
        <f t="shared" si="192"/>
        <v>2780.50584796782</v>
      </c>
      <c r="L1229" s="15">
        <f t="shared" si="193"/>
        <v>0.122016244032488</v>
      </c>
      <c r="M1229" s="15">
        <f t="shared" si="194"/>
        <v>0.138973236353365</v>
      </c>
      <c r="N1229" s="16">
        <f t="shared" si="195"/>
        <v>31.75</v>
      </c>
      <c r="O1229" s="16">
        <f t="shared" si="196"/>
        <v>96603.9740978861</v>
      </c>
      <c r="P1229" s="16">
        <f t="shared" si="197"/>
        <v>117893.447953835</v>
      </c>
      <c r="Q1229" s="16">
        <f t="shared" si="198"/>
        <v>5.89622641509434</v>
      </c>
      <c r="R1229" s="16">
        <f t="shared" si="199"/>
        <v>0.819417667177859</v>
      </c>
      <c r="S1229" s="16">
        <v>22.0472440944882</v>
      </c>
    </row>
    <row r="1230" spans="1:19">
      <c r="A1230" s="21" t="s">
        <v>932</v>
      </c>
      <c r="B1230" s="21">
        <v>63.5</v>
      </c>
      <c r="C1230" s="21">
        <v>1.25</v>
      </c>
      <c r="D1230" s="21">
        <v>350</v>
      </c>
      <c r="E1230" s="21">
        <v>250</v>
      </c>
      <c r="F1230" s="21">
        <v>51.7</v>
      </c>
      <c r="G1230" s="21" t="s">
        <v>860</v>
      </c>
      <c r="H1230" s="21">
        <v>174.69</v>
      </c>
      <c r="I1230" s="14">
        <f t="shared" si="190"/>
        <v>3166.92174435936</v>
      </c>
      <c r="J1230" s="15">
        <f t="shared" si="191"/>
        <v>244.455178357456</v>
      </c>
      <c r="K1230" s="15">
        <f t="shared" si="192"/>
        <v>2922.4665660019</v>
      </c>
      <c r="L1230" s="15">
        <f t="shared" si="193"/>
        <v>0.0771901543803088</v>
      </c>
      <c r="M1230" s="15">
        <f t="shared" si="194"/>
        <v>0.083646869121204</v>
      </c>
      <c r="N1230" s="16">
        <f t="shared" si="195"/>
        <v>50.8</v>
      </c>
      <c r="O1230" s="16">
        <f t="shared" si="196"/>
        <v>61113.7945893639</v>
      </c>
      <c r="P1230" s="16">
        <f t="shared" si="197"/>
        <v>151091.521462298</v>
      </c>
      <c r="Q1230" s="16">
        <f t="shared" si="198"/>
        <v>4.83558994197292</v>
      </c>
      <c r="R1230" s="16">
        <f t="shared" si="199"/>
        <v>0.404481959000019</v>
      </c>
      <c r="S1230" s="16">
        <v>22.0472440944882</v>
      </c>
    </row>
    <row r="1231" spans="1:19">
      <c r="A1231" s="21" t="s">
        <v>933</v>
      </c>
      <c r="B1231" s="21">
        <v>63.5</v>
      </c>
      <c r="C1231" s="21">
        <v>1.6</v>
      </c>
      <c r="D1231" s="21">
        <v>350</v>
      </c>
      <c r="E1231" s="21">
        <v>250</v>
      </c>
      <c r="F1231" s="21">
        <v>51.7</v>
      </c>
      <c r="G1231" s="21" t="s">
        <v>860</v>
      </c>
      <c r="H1231" s="21">
        <v>188.69</v>
      </c>
      <c r="I1231" s="14">
        <f t="shared" si="190"/>
        <v>3166.92174435936</v>
      </c>
      <c r="J1231" s="15">
        <f t="shared" si="191"/>
        <v>311.143336411533</v>
      </c>
      <c r="K1231" s="15">
        <f t="shared" si="192"/>
        <v>2855.77840794783</v>
      </c>
      <c r="L1231" s="15">
        <f t="shared" si="193"/>
        <v>0.0982478764957531</v>
      </c>
      <c r="M1231" s="15">
        <f t="shared" si="194"/>
        <v>0.108952198652949</v>
      </c>
      <c r="N1231" s="16">
        <f t="shared" si="195"/>
        <v>39.6875</v>
      </c>
      <c r="O1231" s="16">
        <f t="shared" si="196"/>
        <v>77785.8341028833</v>
      </c>
      <c r="P1231" s="16">
        <f t="shared" si="197"/>
        <v>147643.743690903</v>
      </c>
      <c r="Q1231" s="16">
        <f t="shared" si="198"/>
        <v>4.83558994197292</v>
      </c>
      <c r="R1231" s="16">
        <f t="shared" si="199"/>
        <v>0.526848155962034</v>
      </c>
      <c r="S1231" s="16">
        <v>22.0472440944882</v>
      </c>
    </row>
    <row r="1232" spans="1:19">
      <c r="A1232" s="21" t="s">
        <v>934</v>
      </c>
      <c r="B1232" s="21">
        <v>63.5</v>
      </c>
      <c r="C1232" s="21">
        <v>2</v>
      </c>
      <c r="D1232" s="21">
        <v>350</v>
      </c>
      <c r="E1232" s="21">
        <v>250</v>
      </c>
      <c r="F1232" s="21">
        <v>51.7</v>
      </c>
      <c r="G1232" s="21" t="s">
        <v>860</v>
      </c>
      <c r="H1232" s="21">
        <v>204.46</v>
      </c>
      <c r="I1232" s="14">
        <f t="shared" si="190"/>
        <v>3166.92174435936</v>
      </c>
      <c r="J1232" s="15">
        <f t="shared" si="191"/>
        <v>386.415896391545</v>
      </c>
      <c r="K1232" s="15">
        <f t="shared" si="192"/>
        <v>2780.50584796782</v>
      </c>
      <c r="L1232" s="15">
        <f t="shared" si="193"/>
        <v>0.122016244032488</v>
      </c>
      <c r="M1232" s="15">
        <f t="shared" si="194"/>
        <v>0.138973236353365</v>
      </c>
      <c r="N1232" s="16">
        <f t="shared" si="195"/>
        <v>31.75</v>
      </c>
      <c r="O1232" s="16">
        <f t="shared" si="196"/>
        <v>96603.9740978861</v>
      </c>
      <c r="P1232" s="16">
        <f t="shared" si="197"/>
        <v>143752.152339936</v>
      </c>
      <c r="Q1232" s="16">
        <f t="shared" si="198"/>
        <v>4.83558994197292</v>
      </c>
      <c r="R1232" s="16">
        <f t="shared" si="199"/>
        <v>0.672017583913757</v>
      </c>
      <c r="S1232" s="16">
        <v>22.0472440944882</v>
      </c>
    </row>
    <row r="1233" spans="1:19">
      <c r="A1233" s="21" t="s">
        <v>935</v>
      </c>
      <c r="B1233" s="21">
        <v>63.5</v>
      </c>
      <c r="C1233" s="21">
        <v>1.25</v>
      </c>
      <c r="D1233" s="21">
        <v>350</v>
      </c>
      <c r="E1233" s="21">
        <v>250</v>
      </c>
      <c r="F1233" s="21">
        <v>60.7</v>
      </c>
      <c r="G1233" s="21" t="s">
        <v>860</v>
      </c>
      <c r="H1233" s="21">
        <v>198.88</v>
      </c>
      <c r="I1233" s="14">
        <f t="shared" si="190"/>
        <v>3166.92174435936</v>
      </c>
      <c r="J1233" s="15">
        <f t="shared" si="191"/>
        <v>244.455178357456</v>
      </c>
      <c r="K1233" s="15">
        <f t="shared" si="192"/>
        <v>2922.4665660019</v>
      </c>
      <c r="L1233" s="15">
        <f t="shared" si="193"/>
        <v>0.0771901543803088</v>
      </c>
      <c r="M1233" s="15">
        <f t="shared" si="194"/>
        <v>0.083646869121204</v>
      </c>
      <c r="N1233" s="16">
        <f t="shared" si="195"/>
        <v>50.8</v>
      </c>
      <c r="O1233" s="16">
        <f t="shared" si="196"/>
        <v>61113.7945893639</v>
      </c>
      <c r="P1233" s="16">
        <f t="shared" si="197"/>
        <v>177393.720556316</v>
      </c>
      <c r="Q1233" s="16">
        <f t="shared" si="198"/>
        <v>4.11861614497529</v>
      </c>
      <c r="R1233" s="16">
        <f t="shared" si="199"/>
        <v>0.344509345639226</v>
      </c>
      <c r="S1233" s="16">
        <v>22.0472440944882</v>
      </c>
    </row>
    <row r="1234" spans="1:19">
      <c r="A1234" s="21" t="s">
        <v>936</v>
      </c>
      <c r="B1234" s="21">
        <v>63.5</v>
      </c>
      <c r="C1234" s="21">
        <v>1.6</v>
      </c>
      <c r="D1234" s="21">
        <v>350</v>
      </c>
      <c r="E1234" s="21">
        <v>250</v>
      </c>
      <c r="F1234" s="21">
        <v>60.7</v>
      </c>
      <c r="G1234" s="21" t="s">
        <v>860</v>
      </c>
      <c r="H1234" s="21">
        <v>212.35</v>
      </c>
      <c r="I1234" s="14">
        <f t="shared" si="190"/>
        <v>3166.92174435936</v>
      </c>
      <c r="J1234" s="15">
        <f t="shared" si="191"/>
        <v>311.143336411533</v>
      </c>
      <c r="K1234" s="15">
        <f t="shared" si="192"/>
        <v>2855.77840794783</v>
      </c>
      <c r="L1234" s="15">
        <f t="shared" si="193"/>
        <v>0.0982478764957531</v>
      </c>
      <c r="M1234" s="15">
        <f t="shared" si="194"/>
        <v>0.108952198652949</v>
      </c>
      <c r="N1234" s="16">
        <f t="shared" si="195"/>
        <v>39.6875</v>
      </c>
      <c r="O1234" s="16">
        <f t="shared" si="196"/>
        <v>77785.8341028833</v>
      </c>
      <c r="P1234" s="16">
        <f t="shared" si="197"/>
        <v>173345.749362433</v>
      </c>
      <c r="Q1234" s="16">
        <f t="shared" si="198"/>
        <v>4.11861614497529</v>
      </c>
      <c r="R1234" s="16">
        <f t="shared" si="199"/>
        <v>0.448732284402589</v>
      </c>
      <c r="S1234" s="16">
        <v>22.0472440944882</v>
      </c>
    </row>
    <row r="1235" spans="1:19">
      <c r="A1235" s="21" t="s">
        <v>937</v>
      </c>
      <c r="B1235" s="21">
        <v>63.5</v>
      </c>
      <c r="C1235" s="21">
        <v>2</v>
      </c>
      <c r="D1235" s="21">
        <v>350</v>
      </c>
      <c r="E1235" s="21">
        <v>250</v>
      </c>
      <c r="F1235" s="21">
        <v>60.7</v>
      </c>
      <c r="G1235" s="21" t="s">
        <v>860</v>
      </c>
      <c r="H1235" s="21">
        <v>227.53</v>
      </c>
      <c r="I1235" s="14">
        <f t="shared" si="190"/>
        <v>3166.92174435936</v>
      </c>
      <c r="J1235" s="15">
        <f t="shared" si="191"/>
        <v>386.415896391545</v>
      </c>
      <c r="K1235" s="15">
        <f t="shared" si="192"/>
        <v>2780.50584796782</v>
      </c>
      <c r="L1235" s="15">
        <f t="shared" si="193"/>
        <v>0.122016244032488</v>
      </c>
      <c r="M1235" s="15">
        <f t="shared" si="194"/>
        <v>0.138973236353365</v>
      </c>
      <c r="N1235" s="16">
        <f t="shared" si="195"/>
        <v>31.75</v>
      </c>
      <c r="O1235" s="16">
        <f t="shared" si="196"/>
        <v>96603.9740978861</v>
      </c>
      <c r="P1235" s="16">
        <f t="shared" si="197"/>
        <v>168776.704971646</v>
      </c>
      <c r="Q1235" s="16">
        <f t="shared" si="198"/>
        <v>4.11861614497529</v>
      </c>
      <c r="R1235" s="16">
        <f t="shared" si="199"/>
        <v>0.572377414964435</v>
      </c>
      <c r="S1235" s="16">
        <v>22.0472440944882</v>
      </c>
    </row>
    <row r="1236" spans="1:19">
      <c r="A1236" s="21" t="s">
        <v>597</v>
      </c>
      <c r="B1236" s="21">
        <v>108</v>
      </c>
      <c r="C1236" s="21">
        <v>4.5</v>
      </c>
      <c r="D1236" s="21">
        <v>4158</v>
      </c>
      <c r="E1236" s="21">
        <v>348.1</v>
      </c>
      <c r="F1236" s="21">
        <v>31.8</v>
      </c>
      <c r="G1236" s="21" t="s">
        <v>265</v>
      </c>
      <c r="H1236" s="21">
        <v>342</v>
      </c>
      <c r="I1236" s="14">
        <f t="shared" si="190"/>
        <v>9160.88417786784</v>
      </c>
      <c r="J1236" s="15">
        <f t="shared" si="191"/>
        <v>1463.19677840945</v>
      </c>
      <c r="K1236" s="15">
        <f t="shared" si="192"/>
        <v>7697.68739945839</v>
      </c>
      <c r="L1236" s="15">
        <f t="shared" si="193"/>
        <v>0.159722222222222</v>
      </c>
      <c r="M1236" s="15">
        <f t="shared" si="194"/>
        <v>0.190082644628099</v>
      </c>
      <c r="N1236" s="16">
        <f t="shared" si="195"/>
        <v>24</v>
      </c>
      <c r="O1236" s="16">
        <f t="shared" si="196"/>
        <v>509338.798564328</v>
      </c>
      <c r="P1236" s="16">
        <f t="shared" si="197"/>
        <v>244786.459302777</v>
      </c>
      <c r="Q1236" s="16">
        <f t="shared" si="198"/>
        <v>10.9465408805031</v>
      </c>
      <c r="R1236" s="16">
        <f t="shared" si="199"/>
        <v>2.08074744009564</v>
      </c>
      <c r="S1236" s="16">
        <v>154</v>
      </c>
    </row>
    <row r="1237" spans="1:19">
      <c r="A1237" s="21" t="s">
        <v>598</v>
      </c>
      <c r="B1237" s="21">
        <v>108</v>
      </c>
      <c r="C1237" s="21">
        <v>4.5</v>
      </c>
      <c r="D1237" s="21">
        <v>4158</v>
      </c>
      <c r="E1237" s="21">
        <v>348.1</v>
      </c>
      <c r="F1237" s="21">
        <v>31.8</v>
      </c>
      <c r="G1237" s="21" t="s">
        <v>265</v>
      </c>
      <c r="H1237" s="21">
        <v>292</v>
      </c>
      <c r="I1237" s="14">
        <f t="shared" si="190"/>
        <v>9160.88417786784</v>
      </c>
      <c r="J1237" s="15">
        <f t="shared" si="191"/>
        <v>1463.19677840945</v>
      </c>
      <c r="K1237" s="15">
        <f t="shared" si="192"/>
        <v>7697.68739945839</v>
      </c>
      <c r="L1237" s="15">
        <f t="shared" si="193"/>
        <v>0.159722222222222</v>
      </c>
      <c r="M1237" s="15">
        <f t="shared" si="194"/>
        <v>0.190082644628099</v>
      </c>
      <c r="N1237" s="16">
        <f t="shared" si="195"/>
        <v>24</v>
      </c>
      <c r="O1237" s="16">
        <f t="shared" si="196"/>
        <v>509338.798564328</v>
      </c>
      <c r="P1237" s="16">
        <f t="shared" si="197"/>
        <v>244786.459302777</v>
      </c>
      <c r="Q1237" s="16">
        <f t="shared" si="198"/>
        <v>10.9465408805031</v>
      </c>
      <c r="R1237" s="16">
        <f t="shared" si="199"/>
        <v>2.08074744009564</v>
      </c>
      <c r="S1237" s="16">
        <v>154</v>
      </c>
    </row>
    <row r="1238" spans="1:19">
      <c r="A1238" s="21" t="s">
        <v>599</v>
      </c>
      <c r="B1238" s="21">
        <v>108</v>
      </c>
      <c r="C1238" s="21">
        <v>4.5</v>
      </c>
      <c r="D1238" s="21">
        <v>4158</v>
      </c>
      <c r="E1238" s="21">
        <v>348.1</v>
      </c>
      <c r="F1238" s="21">
        <v>46.8</v>
      </c>
      <c r="G1238" s="21" t="s">
        <v>265</v>
      </c>
      <c r="H1238" s="21">
        <v>298</v>
      </c>
      <c r="I1238" s="14">
        <f t="shared" si="190"/>
        <v>9160.88417786784</v>
      </c>
      <c r="J1238" s="15">
        <f t="shared" si="191"/>
        <v>1463.19677840945</v>
      </c>
      <c r="K1238" s="15">
        <f t="shared" si="192"/>
        <v>7697.68739945839</v>
      </c>
      <c r="L1238" s="15">
        <f t="shared" si="193"/>
        <v>0.159722222222222</v>
      </c>
      <c r="M1238" s="15">
        <f t="shared" si="194"/>
        <v>0.190082644628099</v>
      </c>
      <c r="N1238" s="16">
        <f t="shared" si="195"/>
        <v>24</v>
      </c>
      <c r="O1238" s="16">
        <f t="shared" si="196"/>
        <v>509338.798564328</v>
      </c>
      <c r="P1238" s="16">
        <f t="shared" si="197"/>
        <v>360251.770294653</v>
      </c>
      <c r="Q1238" s="16">
        <f t="shared" si="198"/>
        <v>7.43803418803419</v>
      </c>
      <c r="R1238" s="16">
        <f t="shared" si="199"/>
        <v>1.41384120929575</v>
      </c>
      <c r="S1238" s="16">
        <v>154</v>
      </c>
    </row>
    <row r="1239" spans="1:19">
      <c r="A1239" s="21" t="s">
        <v>600</v>
      </c>
      <c r="B1239" s="21">
        <v>108</v>
      </c>
      <c r="C1239" s="21">
        <v>4.5</v>
      </c>
      <c r="D1239" s="21">
        <v>4158</v>
      </c>
      <c r="E1239" s="21">
        <v>348.1</v>
      </c>
      <c r="F1239" s="21">
        <v>46.8</v>
      </c>
      <c r="G1239" s="21" t="s">
        <v>265</v>
      </c>
      <c r="H1239" s="21">
        <v>280</v>
      </c>
      <c r="I1239" s="14">
        <f t="shared" si="190"/>
        <v>9160.88417786784</v>
      </c>
      <c r="J1239" s="15">
        <f t="shared" si="191"/>
        <v>1463.19677840945</v>
      </c>
      <c r="K1239" s="15">
        <f t="shared" si="192"/>
        <v>7697.68739945839</v>
      </c>
      <c r="L1239" s="15">
        <f t="shared" si="193"/>
        <v>0.159722222222222</v>
      </c>
      <c r="M1239" s="15">
        <f t="shared" si="194"/>
        <v>0.190082644628099</v>
      </c>
      <c r="N1239" s="16">
        <f t="shared" si="195"/>
        <v>24</v>
      </c>
      <c r="O1239" s="16">
        <f t="shared" si="196"/>
        <v>509338.798564328</v>
      </c>
      <c r="P1239" s="16">
        <f t="shared" si="197"/>
        <v>360251.770294653</v>
      </c>
      <c r="Q1239" s="16">
        <f t="shared" si="198"/>
        <v>7.43803418803419</v>
      </c>
      <c r="R1239" s="16">
        <f t="shared" si="199"/>
        <v>1.41384120929575</v>
      </c>
      <c r="S1239" s="16">
        <v>154</v>
      </c>
    </row>
    <row r="1240" spans="1:19">
      <c r="A1240" s="21" t="s">
        <v>601</v>
      </c>
      <c r="B1240" s="21">
        <v>108</v>
      </c>
      <c r="C1240" s="21">
        <v>4.5</v>
      </c>
      <c r="D1240" s="21">
        <v>4023</v>
      </c>
      <c r="E1240" s="21">
        <v>348.1</v>
      </c>
      <c r="F1240" s="21">
        <v>46.8</v>
      </c>
      <c r="G1240" s="21" t="s">
        <v>265</v>
      </c>
      <c r="H1240" s="21">
        <v>318</v>
      </c>
      <c r="I1240" s="14">
        <f t="shared" si="190"/>
        <v>9160.88417786784</v>
      </c>
      <c r="J1240" s="15">
        <f t="shared" si="191"/>
        <v>1463.19677840945</v>
      </c>
      <c r="K1240" s="15">
        <f t="shared" si="192"/>
        <v>7697.68739945839</v>
      </c>
      <c r="L1240" s="15">
        <f t="shared" si="193"/>
        <v>0.159722222222222</v>
      </c>
      <c r="M1240" s="15">
        <f t="shared" si="194"/>
        <v>0.190082644628099</v>
      </c>
      <c r="N1240" s="16">
        <f t="shared" si="195"/>
        <v>24</v>
      </c>
      <c r="O1240" s="16">
        <f t="shared" si="196"/>
        <v>509338.798564328</v>
      </c>
      <c r="P1240" s="16">
        <f t="shared" si="197"/>
        <v>360251.770294653</v>
      </c>
      <c r="Q1240" s="16">
        <f t="shared" si="198"/>
        <v>7.43803418803419</v>
      </c>
      <c r="R1240" s="16">
        <f t="shared" si="199"/>
        <v>1.41384120929575</v>
      </c>
      <c r="S1240" s="16">
        <v>149</v>
      </c>
    </row>
    <row r="1241" spans="1:19">
      <c r="A1241" s="21" t="s">
        <v>602</v>
      </c>
      <c r="B1241" s="21">
        <v>108</v>
      </c>
      <c r="C1241" s="21">
        <v>4.5</v>
      </c>
      <c r="D1241" s="21">
        <v>4023</v>
      </c>
      <c r="E1241" s="21">
        <v>348.1</v>
      </c>
      <c r="F1241" s="21">
        <v>46.8</v>
      </c>
      <c r="G1241" s="21" t="s">
        <v>265</v>
      </c>
      <c r="H1241" s="21">
        <v>320</v>
      </c>
      <c r="I1241" s="14">
        <f t="shared" si="190"/>
        <v>9160.88417786784</v>
      </c>
      <c r="J1241" s="15">
        <f t="shared" si="191"/>
        <v>1463.19677840945</v>
      </c>
      <c r="K1241" s="15">
        <f t="shared" si="192"/>
        <v>7697.68739945839</v>
      </c>
      <c r="L1241" s="15">
        <f t="shared" si="193"/>
        <v>0.159722222222222</v>
      </c>
      <c r="M1241" s="15">
        <f t="shared" si="194"/>
        <v>0.190082644628099</v>
      </c>
      <c r="N1241" s="16">
        <f t="shared" si="195"/>
        <v>24</v>
      </c>
      <c r="O1241" s="16">
        <f t="shared" si="196"/>
        <v>509338.798564328</v>
      </c>
      <c r="P1241" s="16">
        <f t="shared" si="197"/>
        <v>360251.770294653</v>
      </c>
      <c r="Q1241" s="16">
        <f t="shared" si="198"/>
        <v>7.43803418803419</v>
      </c>
      <c r="R1241" s="16">
        <f t="shared" si="199"/>
        <v>1.41384120929575</v>
      </c>
      <c r="S1241" s="16">
        <v>149</v>
      </c>
    </row>
    <row r="1242" spans="1:19">
      <c r="A1242" s="21" t="s">
        <v>603</v>
      </c>
      <c r="B1242" s="21">
        <v>108</v>
      </c>
      <c r="C1242" s="21">
        <v>4.5</v>
      </c>
      <c r="D1242" s="21">
        <v>3807</v>
      </c>
      <c r="E1242" s="21">
        <v>348.1</v>
      </c>
      <c r="F1242" s="21">
        <v>31.8</v>
      </c>
      <c r="G1242" s="21" t="s">
        <v>265</v>
      </c>
      <c r="H1242" s="21">
        <v>350</v>
      </c>
      <c r="I1242" s="14">
        <f t="shared" si="190"/>
        <v>9160.88417786784</v>
      </c>
      <c r="J1242" s="15">
        <f t="shared" si="191"/>
        <v>1463.19677840945</v>
      </c>
      <c r="K1242" s="15">
        <f t="shared" si="192"/>
        <v>7697.68739945839</v>
      </c>
      <c r="L1242" s="15">
        <f t="shared" si="193"/>
        <v>0.159722222222222</v>
      </c>
      <c r="M1242" s="15">
        <f t="shared" si="194"/>
        <v>0.190082644628099</v>
      </c>
      <c r="N1242" s="16">
        <f t="shared" si="195"/>
        <v>24</v>
      </c>
      <c r="O1242" s="16">
        <f t="shared" si="196"/>
        <v>509338.798564328</v>
      </c>
      <c r="P1242" s="16">
        <f t="shared" si="197"/>
        <v>244786.459302777</v>
      </c>
      <c r="Q1242" s="16">
        <f t="shared" si="198"/>
        <v>10.9465408805031</v>
      </c>
      <c r="R1242" s="16">
        <f t="shared" si="199"/>
        <v>2.08074744009564</v>
      </c>
      <c r="S1242" s="16">
        <v>141</v>
      </c>
    </row>
    <row r="1243" spans="1:19">
      <c r="A1243" s="21" t="s">
        <v>604</v>
      </c>
      <c r="B1243" s="21">
        <v>108</v>
      </c>
      <c r="C1243" s="21">
        <v>4.5</v>
      </c>
      <c r="D1243" s="21">
        <v>3807</v>
      </c>
      <c r="E1243" s="21">
        <v>348.1</v>
      </c>
      <c r="F1243" s="21">
        <v>31.8</v>
      </c>
      <c r="G1243" s="21" t="s">
        <v>265</v>
      </c>
      <c r="H1243" s="21">
        <v>370</v>
      </c>
      <c r="I1243" s="14">
        <f t="shared" si="190"/>
        <v>9160.88417786784</v>
      </c>
      <c r="J1243" s="15">
        <f t="shared" si="191"/>
        <v>1463.19677840945</v>
      </c>
      <c r="K1243" s="15">
        <f t="shared" si="192"/>
        <v>7697.68739945839</v>
      </c>
      <c r="L1243" s="15">
        <f t="shared" si="193"/>
        <v>0.159722222222222</v>
      </c>
      <c r="M1243" s="15">
        <f t="shared" si="194"/>
        <v>0.190082644628099</v>
      </c>
      <c r="N1243" s="16">
        <f t="shared" si="195"/>
        <v>24</v>
      </c>
      <c r="O1243" s="16">
        <f t="shared" si="196"/>
        <v>509338.798564328</v>
      </c>
      <c r="P1243" s="16">
        <f t="shared" si="197"/>
        <v>244786.459302777</v>
      </c>
      <c r="Q1243" s="16">
        <f t="shared" si="198"/>
        <v>10.9465408805031</v>
      </c>
      <c r="R1243" s="16">
        <f t="shared" si="199"/>
        <v>2.08074744009564</v>
      </c>
      <c r="S1243" s="16">
        <v>141</v>
      </c>
    </row>
    <row r="1244" spans="1:19">
      <c r="A1244" s="21" t="s">
        <v>605</v>
      </c>
      <c r="B1244" s="21">
        <v>108</v>
      </c>
      <c r="C1244" s="21">
        <v>4.5</v>
      </c>
      <c r="D1244" s="21">
        <v>3510</v>
      </c>
      <c r="E1244" s="21">
        <v>348.1</v>
      </c>
      <c r="F1244" s="21">
        <v>31.8</v>
      </c>
      <c r="G1244" s="21" t="s">
        <v>265</v>
      </c>
      <c r="H1244" s="21">
        <v>400</v>
      </c>
      <c r="I1244" s="14">
        <f t="shared" si="190"/>
        <v>9160.88417786784</v>
      </c>
      <c r="J1244" s="15">
        <f t="shared" si="191"/>
        <v>1463.19677840945</v>
      </c>
      <c r="K1244" s="15">
        <f t="shared" si="192"/>
        <v>7697.68739945839</v>
      </c>
      <c r="L1244" s="15">
        <f t="shared" si="193"/>
        <v>0.159722222222222</v>
      </c>
      <c r="M1244" s="15">
        <f t="shared" si="194"/>
        <v>0.190082644628099</v>
      </c>
      <c r="N1244" s="16">
        <f t="shared" si="195"/>
        <v>24</v>
      </c>
      <c r="O1244" s="16">
        <f t="shared" si="196"/>
        <v>509338.798564328</v>
      </c>
      <c r="P1244" s="16">
        <f t="shared" si="197"/>
        <v>244786.459302777</v>
      </c>
      <c r="Q1244" s="16">
        <f t="shared" si="198"/>
        <v>10.9465408805031</v>
      </c>
      <c r="R1244" s="16">
        <f t="shared" si="199"/>
        <v>2.08074744009564</v>
      </c>
      <c r="S1244" s="16">
        <v>130</v>
      </c>
    </row>
    <row r="1245" spans="1:19">
      <c r="A1245" s="21" t="s">
        <v>606</v>
      </c>
      <c r="B1245" s="21">
        <v>108</v>
      </c>
      <c r="C1245" s="21">
        <v>4.5</v>
      </c>
      <c r="D1245" s="21">
        <v>3510</v>
      </c>
      <c r="E1245" s="21">
        <v>348.1</v>
      </c>
      <c r="F1245" s="21">
        <v>31.8</v>
      </c>
      <c r="G1245" s="21" t="s">
        <v>265</v>
      </c>
      <c r="H1245" s="21">
        <v>390</v>
      </c>
      <c r="I1245" s="14">
        <f t="shared" si="190"/>
        <v>9160.88417786784</v>
      </c>
      <c r="J1245" s="15">
        <f t="shared" si="191"/>
        <v>1463.19677840945</v>
      </c>
      <c r="K1245" s="15">
        <f t="shared" si="192"/>
        <v>7697.68739945839</v>
      </c>
      <c r="L1245" s="15">
        <f t="shared" si="193"/>
        <v>0.159722222222222</v>
      </c>
      <c r="M1245" s="15">
        <f t="shared" si="194"/>
        <v>0.190082644628099</v>
      </c>
      <c r="N1245" s="16">
        <f t="shared" si="195"/>
        <v>24</v>
      </c>
      <c r="O1245" s="16">
        <f t="shared" si="196"/>
        <v>509338.798564328</v>
      </c>
      <c r="P1245" s="16">
        <f t="shared" si="197"/>
        <v>244786.459302777</v>
      </c>
      <c r="Q1245" s="16">
        <f t="shared" si="198"/>
        <v>10.9465408805031</v>
      </c>
      <c r="R1245" s="16">
        <f t="shared" si="199"/>
        <v>2.08074744009564</v>
      </c>
      <c r="S1245" s="16">
        <v>130</v>
      </c>
    </row>
    <row r="1246" spans="1:19">
      <c r="A1246" s="21" t="s">
        <v>607</v>
      </c>
      <c r="B1246" s="21">
        <v>108</v>
      </c>
      <c r="C1246" s="21">
        <v>4.5</v>
      </c>
      <c r="D1246" s="21">
        <v>3510</v>
      </c>
      <c r="E1246" s="21">
        <v>348.1</v>
      </c>
      <c r="F1246" s="21">
        <v>46.8</v>
      </c>
      <c r="G1246" s="21" t="s">
        <v>265</v>
      </c>
      <c r="H1246" s="21">
        <v>440</v>
      </c>
      <c r="I1246" s="14">
        <f t="shared" si="190"/>
        <v>9160.88417786784</v>
      </c>
      <c r="J1246" s="15">
        <f t="shared" si="191"/>
        <v>1463.19677840945</v>
      </c>
      <c r="K1246" s="15">
        <f t="shared" si="192"/>
        <v>7697.68739945839</v>
      </c>
      <c r="L1246" s="15">
        <f t="shared" si="193"/>
        <v>0.159722222222222</v>
      </c>
      <c r="M1246" s="15">
        <f t="shared" si="194"/>
        <v>0.190082644628099</v>
      </c>
      <c r="N1246" s="16">
        <f t="shared" si="195"/>
        <v>24</v>
      </c>
      <c r="O1246" s="16">
        <f t="shared" si="196"/>
        <v>509338.798564328</v>
      </c>
      <c r="P1246" s="16">
        <f t="shared" si="197"/>
        <v>360251.770294653</v>
      </c>
      <c r="Q1246" s="16">
        <f t="shared" si="198"/>
        <v>7.43803418803419</v>
      </c>
      <c r="R1246" s="16">
        <f t="shared" si="199"/>
        <v>1.41384120929575</v>
      </c>
      <c r="S1246" s="16">
        <v>130</v>
      </c>
    </row>
  </sheetData>
  <pageMargins left="0.7" right="0.7" top="0.75" bottom="0.75" header="0.3" footer="0.3"/>
  <pageSetup paperSize="9" orientation="portrait" horizont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C_CFST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THAI</dc:creator>
  <cp:lastModifiedBy>dell</cp:lastModifiedBy>
  <dcterms:created xsi:type="dcterms:W3CDTF">2015-06-05T18:17:00Z</dcterms:created>
  <dcterms:modified xsi:type="dcterms:W3CDTF">2026-07-20T23:24:21Z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29DC3BEDD4674E2BB01DB82721307D67_12</vt:lpwstr>
  </property>
  <property fmtid="{D5CDD505-2E9C-101B-9397-08002B2CF9AE}" pid="3" name="KSOProductBuildVer">
    <vt:lpwstr>2057-12.2.0.23197</vt:lpwstr>
  </property>
</Properties>
</file>